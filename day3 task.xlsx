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Desktop\excel\"/>
    </mc:Choice>
  </mc:AlternateContent>
  <xr:revisionPtr revIDLastSave="0" documentId="8_{939828BB-92F0-4624-BCF1-B36A279CBA4F}" xr6:coauthVersionLast="47" xr6:coauthVersionMax="47" xr10:uidLastSave="{00000000-0000-0000-0000-000000000000}"/>
  <bookViews>
    <workbookView xWindow="-110" yWindow="-110" windowWidth="19420" windowHeight="10300" firstSheet="3" activeTab="10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5" l="1"/>
  <c r="D13" i="5"/>
  <c r="D14" i="5"/>
  <c r="D15" i="5"/>
  <c r="D16" i="5"/>
  <c r="D17" i="5"/>
  <c r="D11" i="5"/>
  <c r="C33" i="7"/>
  <c r="C32" i="7"/>
  <c r="C31" i="7"/>
  <c r="C26" i="7"/>
  <c r="C25" i="7"/>
  <c r="C24" i="7"/>
  <c r="E19" i="7"/>
  <c r="E17" i="7"/>
  <c r="C19" i="12"/>
  <c r="C24" i="12"/>
  <c r="C13" i="12"/>
  <c r="H20" i="11"/>
  <c r="H21" i="11"/>
  <c r="H18" i="11"/>
  <c r="H15" i="11"/>
  <c r="H16" i="11"/>
  <c r="C20" i="10"/>
  <c r="C16" i="10"/>
  <c r="C12" i="10"/>
  <c r="B10" i="9"/>
  <c r="B9" i="9"/>
  <c r="B8" i="9"/>
  <c r="C27" i="8"/>
  <c r="C23" i="8"/>
  <c r="C19" i="8"/>
  <c r="C10" i="6" a="1"/>
  <c r="C10" i="6"/>
  <c r="C11" i="6" a="1"/>
  <c r="C11" i="6" s="1"/>
  <c r="C12" i="6" a="1"/>
  <c r="C12" i="6" s="1"/>
  <c r="C9" i="6" a="1"/>
  <c r="C9" i="6" s="1"/>
  <c r="F10" i="4"/>
  <c r="F11" i="4"/>
  <c r="F12" i="4"/>
  <c r="F13" i="4"/>
  <c r="F14" i="4"/>
  <c r="F15" i="4"/>
  <c r="F16" i="4"/>
  <c r="F9" i="4"/>
  <c r="E9" i="4"/>
  <c r="E10" i="4"/>
  <c r="E11" i="4"/>
  <c r="E12" i="4"/>
  <c r="E13" i="4"/>
  <c r="E14" i="4"/>
  <c r="E15" i="4"/>
  <c r="E16" i="4"/>
  <c r="D7" i="3" a="1"/>
  <c r="D7" i="3" s="1"/>
  <c r="B33" i="2"/>
  <c r="B32" i="2"/>
  <c r="B31" i="2"/>
  <c r="B26" i="2"/>
  <c r="B25" i="2"/>
  <c r="B24" i="2"/>
  <c r="D19" i="2"/>
  <c r="D1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<sst xmlns="http://schemas.openxmlformats.org/spreadsheetml/2006/main" count="328" uniqueCount="214">
  <si>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</si>
  <si>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</si>
  <si>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</si>
  <si>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</si>
  <si>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</si>
  <si>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</si>
  <si>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</si>
  <si>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</si>
  <si>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</si>
  <si>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</si>
  <si>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</si>
  <si>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</si>
  <si>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</si>
  <si>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</si>
  <si>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</si>
  <si>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</si>
  <si>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</si>
  <si>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</si>
  <si>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</si>
  <si>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</si>
  <si>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</si>
  <si>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</si>
  <si>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</si>
  <si>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</si>
  <si>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</si>
  <si>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</si>
  <si>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</si>
  <si>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</si>
  <si>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</si>
  <si>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</si>
  <si>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</si>
  <si>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</si>
  <si>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</si>
  <si>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</si>
  <si>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</si>
  <si>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</si>
  <si>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</si>
  <si>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</si>
  <si>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</si>
  <si>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</si>
  <si>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</si>
  <si>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>Journal Entry 2</t>
  </si>
  <si>
    <t xml:space="preserve">$109.00 </t>
  </si>
  <si>
    <t>Journal Entry 3</t>
  </si>
  <si>
    <t xml:space="preserve">$85.00 </t>
  </si>
  <si>
    <t>Journal Entry 4</t>
  </si>
  <si>
    <t xml:space="preserve">$12.00 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</si>
  <si>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</si>
  <si>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</si>
  <si>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</si>
  <si>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</si>
  <si>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</si>
  <si>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</si>
  <si>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</si>
  <si>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</si>
  <si>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</si>
  <si>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</si>
  <si>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</si>
  <si>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</si>
  <si>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</si>
  <si>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</si>
  <si>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</si>
  <si>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</si>
  <si>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</si>
  <si>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</si>
  <si>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</si>
  <si>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</si>
  <si>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</si>
  <si>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</si>
  <si>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</si>
  <si>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</si>
  <si>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</si>
  <si>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</si>
  <si>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</si>
  <si>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</si>
  <si>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</si>
  <si>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</si>
  <si>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</si>
  <si>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</si>
  <si>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</si>
  <si>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</si>
  <si>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</si>
  <si>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</si>
  <si>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</si>
  <si>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</si>
  <si>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</si>
  <si>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</si>
  <si>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</si>
  <si>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</si>
  <si>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</si>
  <si>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</si>
  <si>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</si>
  <si>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</si>
  <si>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</si>
  <si>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</si>
  <si>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</si>
  <si>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</si>
  <si>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</si>
  <si>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</si>
  <si>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</si>
  <si>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</si>
  <si>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</si>
  <si>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</si>
  <si>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</si>
  <si>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</si>
  <si>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</si>
  <si>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</si>
  <si>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</si>
  <si>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</si>
  <si>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</si>
  <si>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</si>
  <si>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</si>
  <si>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</si>
  <si>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</si>
  <si>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</si>
  <si>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</si>
  <si>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</si>
  <si>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</si>
  <si>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</si>
  <si>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</si>
  <si>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</si>
  <si>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</si>
  <si>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</si>
  <si>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</si>
  <si>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</si>
  <si>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</si>
  <si>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Date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</si>
  <si>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</si>
  <si>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</si>
  <si>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</si>
  <si>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</si>
  <si>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</si>
  <si>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</si>
  <si>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</si>
  <si>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</si>
  <si>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</si>
  <si>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</si>
  <si>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</si>
  <si>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</si>
  <si>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</si>
  <si>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</si>
  <si>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</si>
  <si>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</si>
  <si>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</si>
  <si>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</si>
  <si>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</si>
  <si>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</si>
  <si>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</si>
  <si>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</si>
  <si>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</si>
  <si>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</si>
  <si>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</si>
  <si>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</si>
  <si>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</si>
  <si>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</si>
  <si>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</si>
  <si>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</si>
  <si>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</si>
  <si>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</si>
  <si>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</si>
  <si>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</si>
  <si>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</si>
  <si>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</si>
  <si>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</si>
  <si>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</si>
  <si>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</si>
  <si>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</si>
  <si>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</si>
  <si>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</si>
  <si>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</si>
  <si>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</si>
  <si>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</si>
  <si>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</si>
  <si>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</si>
  <si>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</si>
  <si>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</si>
  <si>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</si>
  <si>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</si>
  <si>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</si>
  <si>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</si>
  <si>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</si>
  <si>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</si>
  <si>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</si>
  <si>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</si>
  <si>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</si>
  <si>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</si>
  <si>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</si>
  <si>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</si>
  <si>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</si>
  <si>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</si>
  <si>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</si>
  <si>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</si>
  <si>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</si>
  <si>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</si>
  <si>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</si>
  <si>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</si>
  <si>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</si>
  <si>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</si>
  <si>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</si>
  <si>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</si>
  <si>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</si>
  <si>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</si>
  <si>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</si>
  <si>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</si>
  <si>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</si>
  <si>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</si>
  <si>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Refrigerator</t>
  </si>
  <si>
    <t>Microwave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</si>
  <si>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</si>
  <si>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</si>
  <si>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</si>
  <si>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</si>
  <si>
    <t xml:space="preserve">$85.50 </t>
  </si>
  <si>
    <t xml:space="preserve">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</si>
</sst>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14" fontId="1" fillId="0" borderId="0" xfId="0" applyNumberFormat="1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4" borderId="6" xfId="0" applyFont="1" applyFill="1" applyBorder="1"/>
    <xf numFmtId="0" fontId="1" fillId="0" borderId="6" xfId="0" applyFont="1" applyBorder="1"/>
    <xf numFmtId="0" fontId="1" fillId="4" borderId="7" xfId="0" applyFont="1" applyFill="1" applyBorder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5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7" fillId="0" borderId="0" xfId="0" applyFont="1"/>
    <xf numFmtId="0" fontId="10" fillId="0" borderId="0" xfId="0" applyFont="1"/>
    <xf numFmtId="2" fontId="1" fillId="0" borderId="6" xfId="0" applyNumberFormat="1" applyFont="1" applyBorder="1"/>
    <xf numFmtId="1" fontId="2" fillId="0" borderId="6" xfId="0" applyNumberFormat="1" applyFont="1" applyBorder="1"/>
    <xf numFmtId="1" fontId="1" fillId="0" borderId="0" xfId="0" applyNumberFormat="1" applyFont="1"/>
    <xf numFmtId="1" fontId="0" fillId="0" borderId="0" xfId="0" applyNumberFormat="1"/>
    <xf numFmtId="0" fontId="15" fillId="0" borderId="0" xfId="0" applyFont="1"/>
    <xf numFmtId="0" fontId="17" fillId="0" borderId="0" xfId="0" applyFont="1"/>
    <xf numFmtId="0" fontId="10" fillId="0" borderId="0" xfId="0" applyFont="1"/>
    <xf numFmtId="0" fontId="15" fillId="0" borderId="8" xfId="0" applyFont="1" applyBorder="1"/>
    <xf numFmtId="0" fontId="15" fillId="0" borderId="9" xfId="0" applyFont="1" applyBorder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topLeftCell="A74" workbookViewId="0">
      <selection activeCell="B34" sqref="B34"/>
    </sheetView>
  </sheetViews>
  <sheetFormatPr defaultRowHeight="14.5" x14ac:dyDescent="0.35"/>
  <cols>
    <col min="1" max="1" width="21.36328125" customWidth="1"/>
    <col min="2" max="2" width="15.26953125" customWidth="1"/>
    <col min="3" max="3" width="17" customWidth="1"/>
    <col min="4" max="4" width="30.54296875" customWidth="1"/>
  </cols>
  <sheetData>
    <row r="1" spans="1:5" x14ac:dyDescent="0.35">
      <c r="A1" s="66" t="s">
        <v>0</v>
      </c>
      <c r="B1" s="66"/>
      <c r="C1" s="66"/>
      <c r="D1" s="66"/>
      <c r="E1" s="48"/>
    </row>
    <row r="2" spans="1:5" x14ac:dyDescent="0.35">
      <c r="A2" s="48"/>
      <c r="B2" s="48"/>
      <c r="C2" s="48"/>
      <c r="D2" s="48"/>
      <c r="E2" s="48"/>
    </row>
    <row r="3" spans="1:5" x14ac:dyDescent="0.3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35">
      <c r="A4" s="4">
        <v>56815</v>
      </c>
      <c r="B4" s="5" t="s">
        <v>6</v>
      </c>
      <c r="C4" s="5" t="s">
        <v>7</v>
      </c>
      <c r="D4" s="6">
        <v>13836</v>
      </c>
      <c r="E4" s="6">
        <v>25</v>
      </c>
    </row>
    <row r="5" spans="1:5" x14ac:dyDescent="0.35">
      <c r="A5" s="4">
        <v>51186</v>
      </c>
      <c r="B5" s="5" t="s">
        <v>8</v>
      </c>
      <c r="C5" s="5" t="s">
        <v>9</v>
      </c>
      <c r="D5" s="6">
        <v>11771</v>
      </c>
      <c r="E5" s="6">
        <v>32</v>
      </c>
    </row>
    <row r="6" spans="1:5" x14ac:dyDescent="0.35">
      <c r="A6" s="4">
        <v>51511</v>
      </c>
      <c r="B6" s="5" t="s">
        <v>10</v>
      </c>
      <c r="C6" s="5" t="s">
        <v>11</v>
      </c>
      <c r="D6" s="6">
        <v>13046</v>
      </c>
      <c r="E6" s="6">
        <v>35</v>
      </c>
    </row>
    <row r="7" spans="1:5" x14ac:dyDescent="0.35">
      <c r="A7" s="4">
        <v>50890</v>
      </c>
      <c r="B7" s="5" t="s">
        <v>12</v>
      </c>
      <c r="C7" s="5" t="s">
        <v>13</v>
      </c>
      <c r="D7" s="6">
        <v>18276</v>
      </c>
      <c r="E7" s="6">
        <v>32</v>
      </c>
    </row>
    <row r="8" spans="1:5" x14ac:dyDescent="0.35">
      <c r="A8" s="4">
        <v>53700</v>
      </c>
      <c r="B8" s="5" t="s">
        <v>14</v>
      </c>
      <c r="C8" s="5" t="s">
        <v>15</v>
      </c>
      <c r="D8" s="6">
        <v>19327</v>
      </c>
      <c r="E8" s="6">
        <v>26</v>
      </c>
    </row>
    <row r="9" spans="1:5" x14ac:dyDescent="0.35">
      <c r="A9" s="4">
        <v>55879</v>
      </c>
      <c r="B9" s="5" t="s">
        <v>16</v>
      </c>
      <c r="C9" s="5" t="s">
        <v>17</v>
      </c>
      <c r="D9" s="6">
        <v>18996</v>
      </c>
      <c r="E9" s="6">
        <v>35</v>
      </c>
    </row>
    <row r="10" spans="1:5" x14ac:dyDescent="0.35">
      <c r="A10" s="4">
        <v>59848</v>
      </c>
      <c r="B10" s="5" t="s">
        <v>18</v>
      </c>
      <c r="C10" s="5" t="s">
        <v>11</v>
      </c>
      <c r="D10" s="6">
        <v>10387</v>
      </c>
      <c r="E10" s="6">
        <v>25</v>
      </c>
    </row>
    <row r="11" spans="1:5" x14ac:dyDescent="0.35">
      <c r="A11" s="4">
        <v>58369</v>
      </c>
      <c r="B11" s="5" t="s">
        <v>19</v>
      </c>
      <c r="C11" s="5" t="s">
        <v>17</v>
      </c>
      <c r="D11" s="6">
        <v>12566</v>
      </c>
      <c r="E11" s="6">
        <v>37</v>
      </c>
    </row>
    <row r="12" spans="1:5" x14ac:dyDescent="0.35">
      <c r="A12" s="4">
        <v>50217</v>
      </c>
      <c r="B12" s="5" t="s">
        <v>20</v>
      </c>
      <c r="C12" s="5" t="s">
        <v>21</v>
      </c>
      <c r="D12" s="6">
        <v>16406</v>
      </c>
      <c r="E12" s="6">
        <v>42</v>
      </c>
    </row>
    <row r="13" spans="1:5" x14ac:dyDescent="0.35">
      <c r="A13" s="4">
        <v>50695</v>
      </c>
      <c r="B13" s="5" t="s">
        <v>22</v>
      </c>
      <c r="C13" s="5" t="s">
        <v>13</v>
      </c>
      <c r="D13" s="6">
        <v>15784</v>
      </c>
      <c r="E13" s="6">
        <v>43</v>
      </c>
    </row>
    <row r="14" spans="1:5" x14ac:dyDescent="0.35">
      <c r="A14" s="4">
        <v>59673</v>
      </c>
      <c r="B14" s="5" t="s">
        <v>23</v>
      </c>
      <c r="C14" s="5" t="s">
        <v>7</v>
      </c>
      <c r="D14" s="6">
        <v>10959</v>
      </c>
      <c r="E14" s="6">
        <v>30</v>
      </c>
    </row>
    <row r="15" spans="1:5" x14ac:dyDescent="0.35">
      <c r="A15" s="4">
        <v>52130</v>
      </c>
      <c r="B15" s="5" t="s">
        <v>24</v>
      </c>
      <c r="C15" s="5" t="s">
        <v>25</v>
      </c>
      <c r="D15" s="6">
        <v>14562</v>
      </c>
      <c r="E15" s="6">
        <v>32</v>
      </c>
    </row>
    <row r="16" spans="1:5" x14ac:dyDescent="0.35">
      <c r="A16" s="48"/>
      <c r="B16" s="48"/>
      <c r="C16" s="48"/>
      <c r="D16" s="48"/>
      <c r="E16" s="48"/>
    </row>
    <row r="17" spans="1:5" x14ac:dyDescent="0.35">
      <c r="A17" s="48" t="s">
        <v>26</v>
      </c>
      <c r="B17" s="50"/>
      <c r="C17" s="50"/>
      <c r="D17" s="7" t="str">
        <f>VLOOKUP(58369,A4:E15,2,FALSE)</f>
        <v>Thomas Davies</v>
      </c>
      <c r="E17" s="48"/>
    </row>
    <row r="18" spans="1:5" x14ac:dyDescent="0.35">
      <c r="A18" s="48"/>
      <c r="B18" s="48"/>
      <c r="C18" s="48"/>
      <c r="D18" s="48"/>
      <c r="E18" s="48"/>
    </row>
    <row r="19" spans="1:5" x14ac:dyDescent="0.35">
      <c r="A19" s="48" t="s">
        <v>27</v>
      </c>
      <c r="B19" s="50"/>
      <c r="C19" s="48"/>
      <c r="D19" s="7">
        <f>_xlfn.XLOOKUP("Estelle Cormack",B4:B15,E4:E15,"not found")</f>
        <v>30</v>
      </c>
      <c r="E19" s="48"/>
    </row>
    <row r="20" spans="1:5" x14ac:dyDescent="0.35">
      <c r="A20" s="48"/>
      <c r="B20" s="48"/>
      <c r="C20" s="48"/>
      <c r="D20" s="48"/>
      <c r="E20" s="48"/>
    </row>
    <row r="21" spans="1:5" x14ac:dyDescent="0.35">
      <c r="A21" s="67" t="s">
        <v>28</v>
      </c>
      <c r="B21" s="67"/>
      <c r="C21" s="67"/>
      <c r="D21" s="48"/>
      <c r="E21" s="48"/>
    </row>
    <row r="22" spans="1:5" x14ac:dyDescent="0.35">
      <c r="A22" s="48"/>
      <c r="B22" s="48"/>
      <c r="C22" s="48"/>
      <c r="D22" s="48"/>
      <c r="E22" s="48"/>
    </row>
    <row r="23" spans="1:5" x14ac:dyDescent="0.35">
      <c r="A23" s="8" t="s">
        <v>1</v>
      </c>
      <c r="B23" s="9" t="s">
        <v>3</v>
      </c>
      <c r="C23" s="48"/>
      <c r="D23" s="48"/>
      <c r="E23" s="48"/>
    </row>
    <row r="24" spans="1:5" x14ac:dyDescent="0.35">
      <c r="A24" s="4">
        <v>55879</v>
      </c>
      <c r="B24" s="10" t="str">
        <f>VLOOKUP(55879,A4:E15,3,FALSE)</f>
        <v>Capetown</v>
      </c>
      <c r="C24" s="48"/>
      <c r="D24" s="48"/>
      <c r="E24" s="48"/>
    </row>
    <row r="25" spans="1:5" x14ac:dyDescent="0.35">
      <c r="A25" s="4">
        <v>50217</v>
      </c>
      <c r="B25" s="10" t="str">
        <f>VLOOKUP(50217,A5:E16,3,FALSE)</f>
        <v>Warsaw</v>
      </c>
      <c r="C25" s="48"/>
      <c r="D25" s="48"/>
      <c r="E25" s="48"/>
    </row>
    <row r="26" spans="1:5" x14ac:dyDescent="0.35">
      <c r="A26" s="4">
        <v>50695</v>
      </c>
      <c r="B26" s="10" t="str">
        <f>VLOOKUP(50695,A6:E17,3,FALSE)</f>
        <v>Cairo</v>
      </c>
      <c r="C26" s="48"/>
      <c r="D26" s="48"/>
      <c r="E26" s="48"/>
    </row>
    <row r="27" spans="1:5" x14ac:dyDescent="0.35">
      <c r="A27" s="48"/>
      <c r="B27" s="48"/>
      <c r="C27" s="48"/>
      <c r="D27" s="48"/>
      <c r="E27" s="48"/>
    </row>
    <row r="28" spans="1:5" x14ac:dyDescent="0.35">
      <c r="A28" s="67" t="s">
        <v>29</v>
      </c>
      <c r="B28" s="67"/>
      <c r="C28" s="67"/>
      <c r="D28" s="48"/>
      <c r="E28" s="48"/>
    </row>
    <row r="29" spans="1:5" x14ac:dyDescent="0.35">
      <c r="A29" s="48"/>
      <c r="B29" s="48"/>
      <c r="C29" s="48"/>
      <c r="D29" s="48"/>
      <c r="E29" s="48"/>
    </row>
    <row r="30" spans="1:5" x14ac:dyDescent="0.35">
      <c r="A30" s="8" t="s">
        <v>2</v>
      </c>
      <c r="B30" s="9" t="s">
        <v>4</v>
      </c>
      <c r="C30" s="48"/>
      <c r="D30" s="48"/>
      <c r="E30" s="48"/>
    </row>
    <row r="31" spans="1:5" x14ac:dyDescent="0.35">
      <c r="A31" s="11" t="s">
        <v>12</v>
      </c>
      <c r="B31" s="10">
        <f>_xlfn.XLOOKUP("Ian Nash",B4:B15,D4:D15,"not found")</f>
        <v>18276</v>
      </c>
      <c r="C31" s="48"/>
      <c r="D31" s="48"/>
      <c r="E31" s="48"/>
    </row>
    <row r="32" spans="1:5" x14ac:dyDescent="0.35">
      <c r="A32" s="11" t="s">
        <v>30</v>
      </c>
      <c r="B32" s="10" t="str">
        <f>_xlfn.XLOOKUP("Johny Slash",B5:B16,D5:D16,"not found")</f>
        <v>not found</v>
      </c>
      <c r="C32" s="48"/>
      <c r="D32" s="48"/>
      <c r="E32" s="48"/>
    </row>
    <row r="33" spans="1:5" x14ac:dyDescent="0.35">
      <c r="A33" s="11" t="s">
        <v>23</v>
      </c>
      <c r="B33" s="10">
        <f>_xlfn.XLOOKUP("Estelle Cormack",B6:B17,D6:D17,"not found")</f>
        <v>10959</v>
      </c>
      <c r="C33" s="48"/>
      <c r="D33" s="48"/>
      <c r="E33" s="48"/>
    </row>
  </sheetData>
  <mergeCells count="3">
    <mergeCell ref="A1:D1"/>
    <mergeCell ref="A21:C21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workbookViewId="0">
      <selection activeCell="D8" sqref="D8"/>
    </sheetView>
  </sheetViews>
  <sheetFormatPr defaultRowHeight="14.5" x14ac:dyDescent="0.35"/>
  <cols>
    <col min="1" max="1" width="22.7265625" customWidth="1"/>
  </cols>
  <sheetData>
    <row r="1" spans="1:5" x14ac:dyDescent="0.35">
      <c r="A1" s="12" t="s">
        <v>31</v>
      </c>
      <c r="B1" s="50"/>
      <c r="C1" s="50"/>
      <c r="D1" s="50"/>
      <c r="E1" s="50"/>
    </row>
    <row r="2" spans="1:5" x14ac:dyDescent="0.35">
      <c r="A2" s="13" t="s">
        <v>32</v>
      </c>
      <c r="B2" s="50"/>
      <c r="C2" s="50"/>
      <c r="D2" s="50"/>
      <c r="E2" s="50"/>
    </row>
    <row r="3" spans="1:5" x14ac:dyDescent="0.35">
      <c r="A3" s="12" t="s">
        <v>33</v>
      </c>
      <c r="B3" s="50"/>
      <c r="C3" s="50"/>
      <c r="D3" s="50"/>
      <c r="E3" s="50"/>
    </row>
    <row r="4" spans="1:5" x14ac:dyDescent="0.35">
      <c r="A4" s="14"/>
      <c r="B4" s="50"/>
      <c r="C4" s="50"/>
      <c r="D4" s="50"/>
      <c r="E4" s="50"/>
    </row>
    <row r="5" spans="1:5" x14ac:dyDescent="0.35">
      <c r="A5" s="50"/>
      <c r="B5" s="48" t="s">
        <v>34</v>
      </c>
      <c r="C5" s="48" t="s">
        <v>35</v>
      </c>
      <c r="D5" s="50"/>
      <c r="E5" s="50"/>
    </row>
    <row r="6" spans="1:5" x14ac:dyDescent="0.35">
      <c r="A6" s="15"/>
      <c r="B6" s="15" t="s">
        <v>36</v>
      </c>
      <c r="C6" s="15" t="s">
        <v>37</v>
      </c>
      <c r="D6" s="8" t="s">
        <v>38</v>
      </c>
      <c r="E6" s="50"/>
    </row>
    <row r="7" spans="1:5" x14ac:dyDescent="0.35">
      <c r="A7" s="15" t="s">
        <v>39</v>
      </c>
      <c r="B7" s="15" t="s">
        <v>40</v>
      </c>
      <c r="C7" s="15" t="s">
        <v>40</v>
      </c>
      <c r="D7" s="16" t="str" cm="1">
        <f t="array" ref="D7:D10">IF(B7:B10=C7:C10,"match","no match")</f>
        <v>match</v>
      </c>
      <c r="E7" s="48"/>
    </row>
    <row r="8" spans="1:5" x14ac:dyDescent="0.35">
      <c r="A8" s="15" t="s">
        <v>41</v>
      </c>
      <c r="B8" s="15" t="s">
        <v>42</v>
      </c>
      <c r="C8" s="15" t="s">
        <v>42</v>
      </c>
      <c r="D8" s="16" t="str">
        <v>match</v>
      </c>
      <c r="E8" s="48"/>
    </row>
    <row r="9" spans="1:5" x14ac:dyDescent="0.35">
      <c r="A9" s="15" t="s">
        <v>43</v>
      </c>
      <c r="B9" s="15" t="s">
        <v>44</v>
      </c>
      <c r="C9" s="15" t="s">
        <v>212</v>
      </c>
      <c r="D9" s="16" t="str">
        <v>no match</v>
      </c>
      <c r="E9" s="48"/>
    </row>
    <row r="10" spans="1:5" x14ac:dyDescent="0.35">
      <c r="A10" s="15" t="s">
        <v>45</v>
      </c>
      <c r="B10" s="15" t="s">
        <v>46</v>
      </c>
      <c r="C10" s="15" t="s">
        <v>46</v>
      </c>
      <c r="D10" s="16" t="str">
        <v>match</v>
      </c>
      <c r="E10" s="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F9" sqref="F9:F16"/>
    </sheetView>
  </sheetViews>
  <sheetFormatPr defaultRowHeight="14.5" x14ac:dyDescent="0.35"/>
  <cols>
    <col min="5" max="5" width="18" customWidth="1"/>
    <col min="6" max="6" width="12.1796875" bestFit="1" customWidth="1"/>
  </cols>
  <sheetData>
    <row r="1" spans="1:8" x14ac:dyDescent="0.35">
      <c r="A1" s="50"/>
      <c r="B1" s="48" t="s">
        <v>47</v>
      </c>
      <c r="C1" s="50"/>
      <c r="D1" s="50"/>
      <c r="E1" s="50"/>
      <c r="F1" s="50"/>
      <c r="G1" s="50"/>
      <c r="H1" s="50"/>
    </row>
    <row r="2" spans="1:8" x14ac:dyDescent="0.35">
      <c r="A2" s="49">
        <v>1</v>
      </c>
      <c r="B2" s="17" t="s">
        <v>48</v>
      </c>
      <c r="C2" s="50"/>
      <c r="D2" s="50"/>
      <c r="E2" s="50"/>
      <c r="F2" s="50"/>
      <c r="G2" s="50"/>
      <c r="H2" s="50"/>
    </row>
    <row r="3" spans="1:8" x14ac:dyDescent="0.35">
      <c r="A3" s="68"/>
      <c r="B3" s="68"/>
      <c r="C3" s="50"/>
      <c r="D3" s="50"/>
      <c r="E3" s="50"/>
      <c r="F3" s="50"/>
      <c r="G3" s="50"/>
      <c r="H3" s="50"/>
    </row>
    <row r="4" spans="1:8" x14ac:dyDescent="0.35">
      <c r="A4" s="49">
        <v>2</v>
      </c>
      <c r="B4" s="17" t="s">
        <v>49</v>
      </c>
      <c r="C4" s="50"/>
      <c r="D4" s="50"/>
      <c r="E4" s="50"/>
      <c r="F4" s="50"/>
      <c r="G4" s="50"/>
      <c r="H4" s="50"/>
    </row>
    <row r="5" spans="1:8" x14ac:dyDescent="0.35">
      <c r="A5" s="68"/>
      <c r="B5" s="68"/>
      <c r="C5" s="50"/>
      <c r="D5" s="50"/>
      <c r="E5" s="50"/>
      <c r="F5" s="50"/>
      <c r="G5" s="50"/>
      <c r="H5" s="50"/>
    </row>
    <row r="6" spans="1:8" x14ac:dyDescent="0.35">
      <c r="A6" s="68"/>
      <c r="B6" s="68"/>
      <c r="C6" s="50"/>
      <c r="D6" s="50"/>
      <c r="E6" s="50"/>
      <c r="F6" s="50"/>
      <c r="G6" s="50"/>
      <c r="H6" s="50"/>
    </row>
    <row r="7" spans="1:8" x14ac:dyDescent="0.35">
      <c r="A7" s="69"/>
      <c r="B7" s="69"/>
      <c r="C7" s="50"/>
      <c r="D7" s="50"/>
      <c r="E7" s="15" t="s">
        <v>50</v>
      </c>
      <c r="F7" s="15" t="s">
        <v>51</v>
      </c>
      <c r="G7" s="50"/>
      <c r="H7" s="50"/>
    </row>
    <row r="8" spans="1:8" x14ac:dyDescent="0.35">
      <c r="A8" s="50"/>
      <c r="B8" s="18" t="s">
        <v>52</v>
      </c>
      <c r="C8" s="18" t="s">
        <v>2</v>
      </c>
      <c r="D8" s="19" t="s">
        <v>5</v>
      </c>
      <c r="E8" s="18" t="s">
        <v>53</v>
      </c>
      <c r="F8" s="18" t="s">
        <v>54</v>
      </c>
      <c r="G8" s="50"/>
      <c r="H8" s="48"/>
    </row>
    <row r="9" spans="1:8" x14ac:dyDescent="0.35">
      <c r="A9" s="50"/>
      <c r="B9" s="15">
        <v>1</v>
      </c>
      <c r="C9" s="15" t="s">
        <v>55</v>
      </c>
      <c r="D9" s="20">
        <v>16</v>
      </c>
      <c r="E9" s="16" t="str">
        <f>IF(D9&gt;=16,"eligible","not eligible")</f>
        <v>eligible</v>
      </c>
      <c r="F9" s="16" t="str">
        <f>IF(D9&lt;18,"minor","Adult")</f>
        <v>minor</v>
      </c>
      <c r="G9" s="50"/>
      <c r="H9" s="48"/>
    </row>
    <row r="10" spans="1:8" x14ac:dyDescent="0.35">
      <c r="A10" s="50"/>
      <c r="B10" s="15">
        <v>2</v>
      </c>
      <c r="C10" s="15" t="s">
        <v>56</v>
      </c>
      <c r="D10" s="20">
        <v>18</v>
      </c>
      <c r="E10" s="16" t="str">
        <f t="shared" ref="E10:E16" si="0">IF(D10&gt;=16,"eligible","not eligible")</f>
        <v>eligible</v>
      </c>
      <c r="F10" s="16" t="str">
        <f t="shared" ref="F10:F16" si="1">IF(D10&lt;18,"minor","Adult")</f>
        <v>Adult</v>
      </c>
      <c r="G10" s="50"/>
      <c r="H10" s="48"/>
    </row>
    <row r="11" spans="1:8" x14ac:dyDescent="0.35">
      <c r="A11" s="50"/>
      <c r="B11" s="15">
        <v>3</v>
      </c>
      <c r="C11" s="15" t="s">
        <v>57</v>
      </c>
      <c r="D11" s="20">
        <v>15.5</v>
      </c>
      <c r="E11" s="16" t="str">
        <f t="shared" si="0"/>
        <v>not eligible</v>
      </c>
      <c r="F11" s="16" t="str">
        <f t="shared" si="1"/>
        <v>minor</v>
      </c>
      <c r="G11" s="50"/>
      <c r="H11" s="48"/>
    </row>
    <row r="12" spans="1:8" x14ac:dyDescent="0.35">
      <c r="A12" s="50"/>
      <c r="B12" s="15">
        <v>4</v>
      </c>
      <c r="C12" s="15" t="s">
        <v>58</v>
      </c>
      <c r="D12" s="20">
        <v>19</v>
      </c>
      <c r="E12" s="16" t="str">
        <f t="shared" si="0"/>
        <v>eligible</v>
      </c>
      <c r="F12" s="16" t="str">
        <f t="shared" si="1"/>
        <v>Adult</v>
      </c>
      <c r="G12" s="50"/>
      <c r="H12" s="48"/>
    </row>
    <row r="13" spans="1:8" x14ac:dyDescent="0.35">
      <c r="A13" s="50"/>
      <c r="B13" s="15">
        <v>5</v>
      </c>
      <c r="C13" s="15" t="s">
        <v>59</v>
      </c>
      <c r="D13" s="20">
        <v>18</v>
      </c>
      <c r="E13" s="16" t="str">
        <f t="shared" si="0"/>
        <v>eligible</v>
      </c>
      <c r="F13" s="16" t="str">
        <f t="shared" si="1"/>
        <v>Adult</v>
      </c>
      <c r="G13" s="50"/>
      <c r="H13" s="48"/>
    </row>
    <row r="14" spans="1:8" x14ac:dyDescent="0.35">
      <c r="A14" s="50"/>
      <c r="B14" s="15">
        <v>6</v>
      </c>
      <c r="C14" s="15" t="s">
        <v>60</v>
      </c>
      <c r="D14" s="20">
        <v>13</v>
      </c>
      <c r="E14" s="16" t="str">
        <f t="shared" si="0"/>
        <v>not eligible</v>
      </c>
      <c r="F14" s="16" t="str">
        <f t="shared" si="1"/>
        <v>minor</v>
      </c>
      <c r="G14" s="50"/>
      <c r="H14" s="48"/>
    </row>
    <row r="15" spans="1:8" x14ac:dyDescent="0.35">
      <c r="A15" s="50"/>
      <c r="B15" s="15">
        <v>7</v>
      </c>
      <c r="C15" s="15" t="s">
        <v>61</v>
      </c>
      <c r="D15" s="20">
        <v>18</v>
      </c>
      <c r="E15" s="16" t="str">
        <f t="shared" si="0"/>
        <v>eligible</v>
      </c>
      <c r="F15" s="16" t="str">
        <f t="shared" si="1"/>
        <v>Adult</v>
      </c>
      <c r="G15" s="50"/>
      <c r="H15" s="48"/>
    </row>
    <row r="16" spans="1:8" x14ac:dyDescent="0.35">
      <c r="A16" s="50"/>
      <c r="B16" s="15">
        <v>8</v>
      </c>
      <c r="C16" s="15" t="s">
        <v>62</v>
      </c>
      <c r="D16" s="20">
        <v>17</v>
      </c>
      <c r="E16" s="16" t="str">
        <f t="shared" si="0"/>
        <v>eligible</v>
      </c>
      <c r="F16" s="16" t="str">
        <f t="shared" si="1"/>
        <v>minor</v>
      </c>
      <c r="G16" s="50"/>
      <c r="H16" s="48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topLeftCell="A5" workbookViewId="0">
      <selection activeCell="F13" sqref="F13"/>
    </sheetView>
  </sheetViews>
  <sheetFormatPr defaultRowHeight="14.5" x14ac:dyDescent="0.35"/>
  <cols>
    <col min="4" max="4" width="19.26953125" customWidth="1"/>
  </cols>
  <sheetData>
    <row r="1" spans="1:4" x14ac:dyDescent="0.35">
      <c r="A1" s="48" t="s">
        <v>63</v>
      </c>
      <c r="B1" s="48"/>
      <c r="C1" s="48"/>
      <c r="D1" s="48"/>
    </row>
    <row r="2" spans="1:4" x14ac:dyDescent="0.35">
      <c r="A2" s="48"/>
      <c r="B2" s="48"/>
      <c r="C2" s="48"/>
      <c r="D2" s="48"/>
    </row>
    <row r="3" spans="1:4" x14ac:dyDescent="0.35">
      <c r="A3" s="48"/>
      <c r="B3" s="48" t="s">
        <v>64</v>
      </c>
      <c r="C3" s="48"/>
      <c r="D3" s="48"/>
    </row>
    <row r="4" spans="1:4" x14ac:dyDescent="0.35">
      <c r="A4" s="15" t="s">
        <v>65</v>
      </c>
      <c r="B4" s="21">
        <v>1</v>
      </c>
      <c r="C4" s="48"/>
      <c r="D4" s="48"/>
    </row>
    <row r="5" spans="1:4" x14ac:dyDescent="0.35">
      <c r="A5" s="15" t="s">
        <v>66</v>
      </c>
      <c r="B5" s="21">
        <v>0.5</v>
      </c>
      <c r="C5" s="48"/>
      <c r="D5" s="48"/>
    </row>
    <row r="6" spans="1:4" x14ac:dyDescent="0.35">
      <c r="A6" s="48"/>
      <c r="B6" s="48"/>
      <c r="C6" s="48"/>
      <c r="D6" s="48"/>
    </row>
    <row r="7" spans="1:4" x14ac:dyDescent="0.35">
      <c r="A7" s="48" t="s">
        <v>67</v>
      </c>
      <c r="B7" s="48"/>
      <c r="C7" s="48"/>
      <c r="D7" s="48"/>
    </row>
    <row r="8" spans="1:4" x14ac:dyDescent="0.35">
      <c r="A8" s="48" t="s">
        <v>68</v>
      </c>
      <c r="B8" s="48"/>
      <c r="C8" s="48"/>
      <c r="D8" s="48"/>
    </row>
    <row r="9" spans="1:4" x14ac:dyDescent="0.35">
      <c r="A9" s="48"/>
      <c r="B9" s="48"/>
      <c r="C9" s="48"/>
      <c r="D9" s="48"/>
    </row>
    <row r="10" spans="1:4" x14ac:dyDescent="0.35">
      <c r="A10" s="8" t="s">
        <v>2</v>
      </c>
      <c r="B10" s="8" t="s">
        <v>69</v>
      </c>
      <c r="C10" s="8" t="s">
        <v>70</v>
      </c>
      <c r="D10" s="8" t="s">
        <v>71</v>
      </c>
    </row>
    <row r="11" spans="1:4" x14ac:dyDescent="0.35">
      <c r="A11" s="15" t="s">
        <v>72</v>
      </c>
      <c r="B11" s="15" t="s">
        <v>65</v>
      </c>
      <c r="C11" s="22">
        <v>46866</v>
      </c>
      <c r="D11" s="16" t="str">
        <f>IF(B11="A+","100%","50%")</f>
        <v>100%</v>
      </c>
    </row>
    <row r="12" spans="1:4" x14ac:dyDescent="0.35">
      <c r="A12" s="15" t="s">
        <v>73</v>
      </c>
      <c r="B12" s="15" t="s">
        <v>66</v>
      </c>
      <c r="C12" s="22">
        <v>33495</v>
      </c>
      <c r="D12" s="16" t="str">
        <f t="shared" ref="D12:D17" si="0">IF(B12="A+","100%","50%")</f>
        <v>50%</v>
      </c>
    </row>
    <row r="13" spans="1:4" x14ac:dyDescent="0.35">
      <c r="A13" s="15" t="s">
        <v>74</v>
      </c>
      <c r="B13" s="15" t="s">
        <v>66</v>
      </c>
      <c r="C13" s="22">
        <v>35087</v>
      </c>
      <c r="D13" s="16" t="str">
        <f t="shared" si="0"/>
        <v>50%</v>
      </c>
    </row>
    <row r="14" spans="1:4" x14ac:dyDescent="0.35">
      <c r="A14" s="15" t="s">
        <v>75</v>
      </c>
      <c r="B14" s="15" t="s">
        <v>65</v>
      </c>
      <c r="C14" s="22">
        <v>42603</v>
      </c>
      <c r="D14" s="16" t="str">
        <f t="shared" si="0"/>
        <v>100%</v>
      </c>
    </row>
    <row r="15" spans="1:4" x14ac:dyDescent="0.35">
      <c r="A15" s="15" t="s">
        <v>59</v>
      </c>
      <c r="B15" s="15" t="s">
        <v>66</v>
      </c>
      <c r="C15" s="22">
        <v>36971</v>
      </c>
      <c r="D15" s="16" t="str">
        <f t="shared" si="0"/>
        <v>50%</v>
      </c>
    </row>
    <row r="16" spans="1:4" x14ac:dyDescent="0.35">
      <c r="A16" s="15" t="s">
        <v>76</v>
      </c>
      <c r="B16" s="15" t="s">
        <v>65</v>
      </c>
      <c r="C16" s="22">
        <v>41286</v>
      </c>
      <c r="D16" s="16" t="str">
        <f t="shared" si="0"/>
        <v>100%</v>
      </c>
    </row>
    <row r="17" spans="1:4" x14ac:dyDescent="0.35">
      <c r="A17" s="15" t="s">
        <v>77</v>
      </c>
      <c r="B17" s="15" t="s">
        <v>66</v>
      </c>
      <c r="C17" s="22">
        <v>37732</v>
      </c>
      <c r="D17" s="16" t="str">
        <f t="shared" si="0"/>
        <v>50%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activeCell="E8" sqref="E8"/>
    </sheetView>
  </sheetViews>
  <sheetFormatPr defaultRowHeight="14.5" x14ac:dyDescent="0.35"/>
  <cols>
    <col min="3" max="3" width="28.7265625" customWidth="1"/>
  </cols>
  <sheetData>
    <row r="1" spans="1:3" x14ac:dyDescent="0.35">
      <c r="A1" s="50" t="s">
        <v>78</v>
      </c>
      <c r="B1" s="50"/>
      <c r="C1" s="50"/>
    </row>
    <row r="2" spans="1:3" x14ac:dyDescent="0.35">
      <c r="A2" s="50" t="s">
        <v>79</v>
      </c>
      <c r="B2" s="50"/>
      <c r="C2" s="50"/>
    </row>
    <row r="3" spans="1:3" x14ac:dyDescent="0.35">
      <c r="A3" s="50" t="s">
        <v>80</v>
      </c>
      <c r="B3" s="50"/>
      <c r="C3" s="50"/>
    </row>
    <row r="4" spans="1:3" x14ac:dyDescent="0.35">
      <c r="A4" s="50" t="s">
        <v>81</v>
      </c>
      <c r="B4" s="50"/>
      <c r="C4" s="50"/>
    </row>
    <row r="5" spans="1:3" x14ac:dyDescent="0.35">
      <c r="A5" s="50"/>
      <c r="B5" s="50"/>
      <c r="C5" s="50"/>
    </row>
    <row r="6" spans="1:3" x14ac:dyDescent="0.35">
      <c r="A6" s="50" t="s">
        <v>82</v>
      </c>
      <c r="B6" s="50"/>
      <c r="C6" s="50"/>
    </row>
    <row r="7" spans="1:3" x14ac:dyDescent="0.35">
      <c r="A7" s="50"/>
      <c r="B7" s="50"/>
      <c r="C7" s="50"/>
    </row>
    <row r="8" spans="1:3" x14ac:dyDescent="0.35">
      <c r="A8" s="23" t="s">
        <v>83</v>
      </c>
      <c r="B8" s="23" t="s">
        <v>84</v>
      </c>
      <c r="C8" s="23" t="s">
        <v>85</v>
      </c>
    </row>
    <row r="9" spans="1:3" x14ac:dyDescent="0.35">
      <c r="A9" s="24" t="s">
        <v>86</v>
      </c>
      <c r="B9" s="24">
        <v>78</v>
      </c>
      <c r="C9" s="25" t="str" cm="1">
        <f t="array" ref="C9">_xlfn.IFS(B9&gt;=80,"excellent",AND(B9&gt;=60,B9&lt;80),"good",B9&lt;60,"failed")</f>
        <v>good</v>
      </c>
    </row>
    <row r="10" spans="1:3" x14ac:dyDescent="0.35">
      <c r="A10" s="24" t="s">
        <v>87</v>
      </c>
      <c r="B10" s="24">
        <v>85</v>
      </c>
      <c r="C10" s="25" t="str" cm="1">
        <f t="array" ref="C10">_xlfn.IFS(B10&gt;=80,"excellent",AND(B10&gt;=60,B10&lt;80),"good",B10&lt;60,"failed")</f>
        <v>excellent</v>
      </c>
    </row>
    <row r="11" spans="1:3" x14ac:dyDescent="0.35">
      <c r="A11" s="24" t="s">
        <v>88</v>
      </c>
      <c r="B11" s="24">
        <v>44</v>
      </c>
      <c r="C11" s="25" t="str" cm="1">
        <f t="array" ref="C11">_xlfn.IFS(B11&gt;=80,"excellent",AND(B11&gt;=60,B11&lt;80),"good",B11&lt;60,"failed")</f>
        <v>failed</v>
      </c>
    </row>
    <row r="12" spans="1:3" x14ac:dyDescent="0.35">
      <c r="A12" s="24" t="s">
        <v>89</v>
      </c>
      <c r="B12" s="24">
        <v>61</v>
      </c>
      <c r="C12" s="25" t="str" cm="1">
        <f t="array" ref="C12">_xlfn.IFS(B12&gt;=80,"excellent",AND(B12&gt;=60,B12&lt;80),"good",B12&lt;60,"failed")</f>
        <v>good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topLeftCell="A16" workbookViewId="0">
      <selection activeCell="C34" sqref="C34"/>
    </sheetView>
  </sheetViews>
  <sheetFormatPr defaultRowHeight="14.5" x14ac:dyDescent="0.35"/>
  <cols>
    <col min="2" max="2" width="14.7265625" customWidth="1"/>
    <col min="3" max="3" width="20.1796875" customWidth="1"/>
    <col min="4" max="4" width="21.453125" customWidth="1"/>
  </cols>
  <sheetData>
    <row r="1" spans="1:6" x14ac:dyDescent="0.35">
      <c r="A1" s="47"/>
      <c r="B1" s="66" t="s">
        <v>0</v>
      </c>
      <c r="C1" s="66"/>
      <c r="D1" s="66"/>
      <c r="E1" s="66"/>
      <c r="F1" s="48"/>
    </row>
    <row r="2" spans="1:6" x14ac:dyDescent="0.35">
      <c r="A2" s="66"/>
      <c r="B2" s="66"/>
      <c r="C2" s="48"/>
      <c r="D2" s="48"/>
      <c r="E2" s="48"/>
      <c r="F2" s="48"/>
    </row>
    <row r="3" spans="1:6" x14ac:dyDescent="0.35">
      <c r="A3" s="47"/>
      <c r="B3" s="2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x14ac:dyDescent="0.35">
      <c r="A4" s="47"/>
      <c r="B4" s="4">
        <v>56815</v>
      </c>
      <c r="C4" s="5" t="s">
        <v>6</v>
      </c>
      <c r="D4" s="5" t="s">
        <v>7</v>
      </c>
      <c r="E4" s="6">
        <v>13836</v>
      </c>
      <c r="F4" s="6">
        <v>25</v>
      </c>
    </row>
    <row r="5" spans="1:6" x14ac:dyDescent="0.35">
      <c r="A5" s="47"/>
      <c r="B5" s="4">
        <v>51186</v>
      </c>
      <c r="C5" s="5" t="s">
        <v>8</v>
      </c>
      <c r="D5" s="5" t="s">
        <v>9</v>
      </c>
      <c r="E5" s="6">
        <v>11771</v>
      </c>
      <c r="F5" s="6">
        <v>32</v>
      </c>
    </row>
    <row r="6" spans="1:6" x14ac:dyDescent="0.35">
      <c r="A6" s="47"/>
      <c r="B6" s="4">
        <v>51511</v>
      </c>
      <c r="C6" s="5" t="s">
        <v>10</v>
      </c>
      <c r="D6" s="5" t="s">
        <v>11</v>
      </c>
      <c r="E6" s="6">
        <v>13046</v>
      </c>
      <c r="F6" s="6">
        <v>35</v>
      </c>
    </row>
    <row r="7" spans="1:6" x14ac:dyDescent="0.35">
      <c r="A7" s="47"/>
      <c r="B7" s="4">
        <v>50890</v>
      </c>
      <c r="C7" s="5" t="s">
        <v>12</v>
      </c>
      <c r="D7" s="5" t="s">
        <v>13</v>
      </c>
      <c r="E7" s="6">
        <v>18276</v>
      </c>
      <c r="F7" s="6">
        <v>32</v>
      </c>
    </row>
    <row r="8" spans="1:6" x14ac:dyDescent="0.35">
      <c r="A8" s="47"/>
      <c r="B8" s="4">
        <v>53700</v>
      </c>
      <c r="C8" s="5" t="s">
        <v>14</v>
      </c>
      <c r="D8" s="5" t="s">
        <v>15</v>
      </c>
      <c r="E8" s="6">
        <v>19327</v>
      </c>
      <c r="F8" s="6">
        <v>26</v>
      </c>
    </row>
    <row r="9" spans="1:6" x14ac:dyDescent="0.35">
      <c r="A9" s="47"/>
      <c r="B9" s="4">
        <v>55879</v>
      </c>
      <c r="C9" s="5" t="s">
        <v>16</v>
      </c>
      <c r="D9" s="5" t="s">
        <v>17</v>
      </c>
      <c r="E9" s="6">
        <v>18996</v>
      </c>
      <c r="F9" s="6">
        <v>35</v>
      </c>
    </row>
    <row r="10" spans="1:6" x14ac:dyDescent="0.35">
      <c r="A10" s="47"/>
      <c r="B10" s="4">
        <v>59848</v>
      </c>
      <c r="C10" s="5" t="s">
        <v>18</v>
      </c>
      <c r="D10" s="5" t="s">
        <v>11</v>
      </c>
      <c r="E10" s="6">
        <v>10387</v>
      </c>
      <c r="F10" s="6">
        <v>25</v>
      </c>
    </row>
    <row r="11" spans="1:6" x14ac:dyDescent="0.35">
      <c r="A11" s="47"/>
      <c r="B11" s="4">
        <v>58369</v>
      </c>
      <c r="C11" s="5" t="s">
        <v>19</v>
      </c>
      <c r="D11" s="5" t="s">
        <v>17</v>
      </c>
      <c r="E11" s="6">
        <v>12566</v>
      </c>
      <c r="F11" s="6">
        <v>37</v>
      </c>
    </row>
    <row r="12" spans="1:6" x14ac:dyDescent="0.35">
      <c r="A12" s="47"/>
      <c r="B12" s="4">
        <v>50217</v>
      </c>
      <c r="C12" s="5" t="s">
        <v>20</v>
      </c>
      <c r="D12" s="5" t="s">
        <v>21</v>
      </c>
      <c r="E12" s="6">
        <v>16406</v>
      </c>
      <c r="F12" s="6">
        <v>42</v>
      </c>
    </row>
    <row r="13" spans="1:6" x14ac:dyDescent="0.35">
      <c r="A13" s="47"/>
      <c r="B13" s="4">
        <v>50695</v>
      </c>
      <c r="C13" s="5" t="s">
        <v>22</v>
      </c>
      <c r="D13" s="5" t="s">
        <v>13</v>
      </c>
      <c r="E13" s="6">
        <v>15784</v>
      </c>
      <c r="F13" s="6">
        <v>43</v>
      </c>
    </row>
    <row r="14" spans="1:6" x14ac:dyDescent="0.35">
      <c r="A14" s="47"/>
      <c r="B14" s="4">
        <v>59673</v>
      </c>
      <c r="C14" s="5" t="s">
        <v>23</v>
      </c>
      <c r="D14" s="5" t="s">
        <v>7</v>
      </c>
      <c r="E14" s="6">
        <v>10959</v>
      </c>
      <c r="F14" s="6">
        <v>30</v>
      </c>
    </row>
    <row r="15" spans="1:6" x14ac:dyDescent="0.35">
      <c r="A15" s="47"/>
      <c r="B15" s="4">
        <v>52130</v>
      </c>
      <c r="C15" s="5" t="s">
        <v>24</v>
      </c>
      <c r="D15" s="5" t="s">
        <v>25</v>
      </c>
      <c r="E15" s="6">
        <v>14562</v>
      </c>
      <c r="F15" s="6">
        <v>32</v>
      </c>
    </row>
    <row r="16" spans="1:6" x14ac:dyDescent="0.35">
      <c r="A16" s="66"/>
      <c r="B16" s="66"/>
      <c r="C16" s="48"/>
      <c r="D16" s="48"/>
      <c r="E16" s="48"/>
      <c r="F16" s="48"/>
    </row>
    <row r="17" spans="1:6" x14ac:dyDescent="0.35">
      <c r="A17" s="26">
        <v>1</v>
      </c>
      <c r="B17" s="48" t="s">
        <v>26</v>
      </c>
      <c r="C17" s="50"/>
      <c r="D17" s="50"/>
      <c r="E17" s="7" t="str">
        <f>VLOOKUP(58369,B4:F15,2,FALSE)</f>
        <v>Thomas Davies</v>
      </c>
      <c r="F17" s="48"/>
    </row>
    <row r="18" spans="1:6" x14ac:dyDescent="0.35">
      <c r="A18" s="66"/>
      <c r="B18" s="66"/>
      <c r="C18" s="48"/>
      <c r="D18" s="48"/>
      <c r="E18" s="48"/>
      <c r="F18" s="48"/>
    </row>
    <row r="19" spans="1:6" x14ac:dyDescent="0.35">
      <c r="A19" s="26">
        <v>2</v>
      </c>
      <c r="B19" s="48" t="s">
        <v>27</v>
      </c>
      <c r="C19" s="50"/>
      <c r="D19" s="48"/>
      <c r="E19" s="7">
        <f>_xlfn.XLOOKUP("estelle cormack",C4:C15,F4:F15,"not found")</f>
        <v>30</v>
      </c>
      <c r="F19" s="48"/>
    </row>
    <row r="20" spans="1:6" x14ac:dyDescent="0.35">
      <c r="A20" s="66"/>
      <c r="B20" s="66"/>
      <c r="C20" s="48"/>
      <c r="D20" s="48"/>
      <c r="E20" s="48"/>
      <c r="F20" s="48"/>
    </row>
    <row r="21" spans="1:6" x14ac:dyDescent="0.35">
      <c r="A21" s="26">
        <v>3</v>
      </c>
      <c r="B21" s="67" t="s">
        <v>28</v>
      </c>
      <c r="C21" s="67"/>
      <c r="D21" s="67"/>
      <c r="E21" s="48"/>
      <c r="F21" s="48"/>
    </row>
    <row r="22" spans="1:6" x14ac:dyDescent="0.35">
      <c r="A22" s="66"/>
      <c r="B22" s="66"/>
      <c r="C22" s="48"/>
      <c r="D22" s="48"/>
      <c r="E22" s="48"/>
      <c r="F22" s="48"/>
    </row>
    <row r="23" spans="1:6" x14ac:dyDescent="0.35">
      <c r="A23" s="47"/>
      <c r="B23" s="8" t="s">
        <v>1</v>
      </c>
      <c r="C23" s="9" t="s">
        <v>3</v>
      </c>
      <c r="D23" s="48"/>
      <c r="E23" s="48"/>
      <c r="F23" s="48"/>
    </row>
    <row r="24" spans="1:6" x14ac:dyDescent="0.35">
      <c r="A24" s="47"/>
      <c r="B24" s="4">
        <v>55879</v>
      </c>
      <c r="C24" s="10" t="str">
        <f>_xlfn.XLOOKUP(55879,B4:B15,D4:D15,"not in the list")</f>
        <v>Capetown</v>
      </c>
      <c r="D24" s="48"/>
      <c r="E24" s="48"/>
      <c r="F24" s="48"/>
    </row>
    <row r="25" spans="1:6" x14ac:dyDescent="0.35">
      <c r="A25" s="47"/>
      <c r="B25" s="4">
        <v>50217</v>
      </c>
      <c r="C25" s="10" t="str">
        <f>_xlfn.XLOOKUP(50217,B5:B16,D5:D16,"not in the list")</f>
        <v>Warsaw</v>
      </c>
      <c r="D25" s="48"/>
      <c r="E25" s="48"/>
      <c r="F25" s="48"/>
    </row>
    <row r="26" spans="1:6" x14ac:dyDescent="0.35">
      <c r="A26" s="47"/>
      <c r="B26" s="4">
        <v>50695</v>
      </c>
      <c r="C26" s="10" t="str">
        <f>_xlfn.XLOOKUP(50695,B6:B17,D6:D17,"not in the list")</f>
        <v>Cairo</v>
      </c>
      <c r="D26" s="48"/>
      <c r="E26" s="48"/>
      <c r="F26" s="48"/>
    </row>
    <row r="27" spans="1:6" x14ac:dyDescent="0.35">
      <c r="A27" s="66"/>
      <c r="B27" s="66"/>
      <c r="C27" s="48"/>
      <c r="D27" s="48"/>
      <c r="E27" s="48"/>
      <c r="F27" s="48"/>
    </row>
    <row r="28" spans="1:6" x14ac:dyDescent="0.35">
      <c r="A28" s="26">
        <v>4</v>
      </c>
      <c r="B28" s="67" t="s">
        <v>29</v>
      </c>
      <c r="C28" s="67"/>
      <c r="D28" s="67"/>
      <c r="E28" s="48"/>
      <c r="F28" s="48"/>
    </row>
    <row r="29" spans="1:6" x14ac:dyDescent="0.35">
      <c r="A29" s="66"/>
      <c r="B29" s="66"/>
      <c r="C29" s="48"/>
      <c r="D29" s="48"/>
      <c r="E29" s="48"/>
      <c r="F29" s="48"/>
    </row>
    <row r="30" spans="1:6" x14ac:dyDescent="0.35">
      <c r="A30" s="47"/>
      <c r="B30" s="8" t="s">
        <v>2</v>
      </c>
      <c r="C30" s="9" t="s">
        <v>4</v>
      </c>
      <c r="D30" s="48"/>
      <c r="E30" s="48"/>
      <c r="F30" s="48"/>
    </row>
    <row r="31" spans="1:6" x14ac:dyDescent="0.35">
      <c r="A31" s="47"/>
      <c r="B31" s="11" t="s">
        <v>12</v>
      </c>
      <c r="C31" s="10">
        <f>_xlfn.XLOOKUP("ian nash",C4:C15,E4:E15,"not in this list")</f>
        <v>18276</v>
      </c>
      <c r="D31" s="48"/>
      <c r="E31" s="48"/>
      <c r="F31" s="48"/>
    </row>
    <row r="32" spans="1:6" x14ac:dyDescent="0.35">
      <c r="A32" s="47"/>
      <c r="B32" s="11" t="s">
        <v>30</v>
      </c>
      <c r="C32" s="10" t="str">
        <f>_xlfn.XLOOKUP("johny slash",C5:C16,E5:E16,"not in this list")</f>
        <v>not in this list</v>
      </c>
      <c r="D32" s="48"/>
      <c r="E32" s="48"/>
      <c r="F32" s="48"/>
    </row>
    <row r="33" spans="1:6" x14ac:dyDescent="0.35">
      <c r="A33" s="47"/>
      <c r="B33" s="11" t="s">
        <v>23</v>
      </c>
      <c r="C33" s="10">
        <f>_xlfn.XLOOKUP("estelle cormack",C6:C17,E6:E17,"not in this list")</f>
        <v>10959</v>
      </c>
      <c r="D33" s="48"/>
      <c r="E33" s="48"/>
      <c r="F33" s="48"/>
    </row>
    <row r="34" spans="1:6" x14ac:dyDescent="0.35">
      <c r="A34" s="66"/>
      <c r="B34" s="66"/>
      <c r="C34" s="48"/>
      <c r="D34" s="48"/>
      <c r="E34" s="48"/>
      <c r="F34" s="48"/>
    </row>
  </sheetData>
  <mergeCells count="11">
    <mergeCell ref="B21:D21"/>
    <mergeCell ref="B1:E1"/>
    <mergeCell ref="A2:B2"/>
    <mergeCell ref="A16:B16"/>
    <mergeCell ref="A18:B18"/>
    <mergeCell ref="A20:B20"/>
    <mergeCell ref="A22:B22"/>
    <mergeCell ref="A27:B27"/>
    <mergeCell ref="B28:D28"/>
    <mergeCell ref="A29:B2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topLeftCell="A10" workbookViewId="0">
      <selection activeCell="C28" sqref="C28"/>
    </sheetView>
  </sheetViews>
  <sheetFormatPr defaultRowHeight="14.5" x14ac:dyDescent="0.35"/>
  <cols>
    <col min="2" max="2" width="22" customWidth="1"/>
    <col min="3" max="3" width="24.453125" customWidth="1"/>
    <col min="5" max="5" width="12.54296875" customWidth="1"/>
  </cols>
  <sheetData>
    <row r="1" spans="1:10" x14ac:dyDescent="0.35">
      <c r="A1" s="51"/>
      <c r="B1" s="27" t="s">
        <v>90</v>
      </c>
      <c r="C1" s="51"/>
      <c r="D1" s="51"/>
      <c r="E1" s="51"/>
      <c r="F1" s="51" t="s">
        <v>91</v>
      </c>
      <c r="G1" s="51"/>
      <c r="H1" s="51"/>
      <c r="I1" s="51"/>
      <c r="J1" s="51"/>
    </row>
    <row r="2" spans="1:10" x14ac:dyDescent="0.35">
      <c r="A2" s="51"/>
      <c r="B2" s="28" t="s">
        <v>2</v>
      </c>
      <c r="C2" s="28" t="s">
        <v>5</v>
      </c>
      <c r="D2" s="28" t="s">
        <v>92</v>
      </c>
      <c r="E2" s="28" t="s">
        <v>93</v>
      </c>
      <c r="F2" s="51"/>
      <c r="G2" s="51"/>
      <c r="H2" s="51"/>
      <c r="I2" s="51"/>
      <c r="J2" s="51"/>
    </row>
    <row r="3" spans="1:10" x14ac:dyDescent="0.35">
      <c r="A3" s="51"/>
      <c r="B3" s="29" t="s">
        <v>94</v>
      </c>
      <c r="C3" s="29">
        <v>35</v>
      </c>
      <c r="D3" s="29" t="s">
        <v>95</v>
      </c>
      <c r="E3" s="29" t="s">
        <v>96</v>
      </c>
      <c r="F3" s="51"/>
      <c r="G3" s="51"/>
      <c r="H3" s="51"/>
      <c r="I3" s="51"/>
      <c r="J3" s="51"/>
    </row>
    <row r="4" spans="1:10" x14ac:dyDescent="0.35">
      <c r="A4" s="51"/>
      <c r="B4" s="29" t="s">
        <v>97</v>
      </c>
      <c r="C4" s="29">
        <v>42</v>
      </c>
      <c r="D4" s="29" t="s">
        <v>98</v>
      </c>
      <c r="E4" s="29" t="s">
        <v>99</v>
      </c>
      <c r="F4" s="51"/>
      <c r="G4" s="51"/>
      <c r="H4" s="51"/>
      <c r="I4" s="51"/>
      <c r="J4" s="51"/>
    </row>
    <row r="5" spans="1:10" x14ac:dyDescent="0.35">
      <c r="A5" s="51"/>
      <c r="B5" s="29" t="s">
        <v>100</v>
      </c>
      <c r="C5" s="29">
        <v>28</v>
      </c>
      <c r="D5" s="29" t="s">
        <v>95</v>
      </c>
      <c r="E5" s="29" t="s">
        <v>101</v>
      </c>
      <c r="F5" s="51"/>
      <c r="G5" s="51"/>
      <c r="H5" s="51"/>
      <c r="I5" s="51"/>
      <c r="J5" s="51"/>
    </row>
    <row r="6" spans="1:10" x14ac:dyDescent="0.35">
      <c r="A6" s="51"/>
      <c r="B6" s="29" t="s">
        <v>102</v>
      </c>
      <c r="C6" s="29">
        <v>25</v>
      </c>
      <c r="D6" s="29" t="s">
        <v>98</v>
      </c>
      <c r="E6" s="29" t="s">
        <v>103</v>
      </c>
      <c r="F6" s="51"/>
      <c r="G6" s="51"/>
      <c r="H6" s="51"/>
      <c r="I6" s="51"/>
      <c r="J6" s="51"/>
    </row>
    <row r="7" spans="1:10" x14ac:dyDescent="0.35">
      <c r="A7" s="51"/>
      <c r="B7" s="29" t="s">
        <v>104</v>
      </c>
      <c r="C7" s="29">
        <v>31</v>
      </c>
      <c r="D7" s="29" t="s">
        <v>95</v>
      </c>
      <c r="E7" s="29" t="s">
        <v>105</v>
      </c>
      <c r="F7" s="51"/>
      <c r="G7" s="51"/>
      <c r="H7" s="51"/>
      <c r="I7" s="51"/>
      <c r="J7" s="51"/>
    </row>
    <row r="8" spans="1:10" x14ac:dyDescent="0.35">
      <c r="A8" s="51"/>
      <c r="B8" s="29" t="s">
        <v>106</v>
      </c>
      <c r="C8" s="29">
        <v>27</v>
      </c>
      <c r="D8" s="29" t="s">
        <v>98</v>
      </c>
      <c r="E8" s="29" t="s">
        <v>107</v>
      </c>
      <c r="F8" s="51"/>
      <c r="G8" s="51"/>
      <c r="H8" s="51"/>
      <c r="I8" s="51"/>
      <c r="J8" s="51"/>
    </row>
    <row r="9" spans="1:10" x14ac:dyDescent="0.35">
      <c r="A9" s="51"/>
      <c r="B9" s="29" t="s">
        <v>108</v>
      </c>
      <c r="C9" s="29">
        <v>38</v>
      </c>
      <c r="D9" s="29" t="s">
        <v>95</v>
      </c>
      <c r="E9" s="29" t="s">
        <v>109</v>
      </c>
      <c r="F9" s="51"/>
      <c r="G9" s="51"/>
      <c r="H9" s="51"/>
      <c r="I9" s="51"/>
      <c r="J9" s="51"/>
    </row>
    <row r="10" spans="1:10" x14ac:dyDescent="0.35">
      <c r="A10" s="51"/>
      <c r="B10" s="29" t="s">
        <v>110</v>
      </c>
      <c r="C10" s="29">
        <v>29</v>
      </c>
      <c r="D10" s="29" t="s">
        <v>98</v>
      </c>
      <c r="E10" s="29" t="s">
        <v>111</v>
      </c>
      <c r="F10" s="51"/>
      <c r="G10" s="51"/>
      <c r="H10" s="51"/>
      <c r="I10" s="51"/>
      <c r="J10" s="51"/>
    </row>
    <row r="11" spans="1:10" x14ac:dyDescent="0.35">
      <c r="A11" s="51"/>
      <c r="B11" s="29" t="s">
        <v>112</v>
      </c>
      <c r="C11" s="29">
        <v>45</v>
      </c>
      <c r="D11" s="29" t="s">
        <v>95</v>
      </c>
      <c r="E11" s="29" t="s">
        <v>113</v>
      </c>
      <c r="F11" s="51"/>
      <c r="G11" s="51"/>
      <c r="H11" s="51"/>
      <c r="I11" s="51"/>
      <c r="J11" s="51"/>
    </row>
    <row r="12" spans="1:10" x14ac:dyDescent="0.35">
      <c r="A12" s="51"/>
      <c r="B12" s="29" t="s">
        <v>114</v>
      </c>
      <c r="C12" s="29">
        <v>33</v>
      </c>
      <c r="D12" s="29" t="s">
        <v>98</v>
      </c>
      <c r="E12" s="29" t="s">
        <v>115</v>
      </c>
      <c r="F12" s="51"/>
      <c r="G12" s="51"/>
      <c r="H12" s="51"/>
      <c r="I12" s="51"/>
      <c r="J12" s="51"/>
    </row>
    <row r="13" spans="1:10" x14ac:dyDescent="0.35">
      <c r="A13" s="70"/>
      <c r="B13" s="70"/>
      <c r="C13" s="51"/>
      <c r="D13" s="51"/>
      <c r="E13" s="51"/>
      <c r="F13" s="51"/>
      <c r="G13" s="51"/>
      <c r="H13" s="51"/>
      <c r="I13" s="51"/>
      <c r="J13" s="51"/>
    </row>
    <row r="14" spans="1:10" x14ac:dyDescent="0.35">
      <c r="A14" s="70"/>
      <c r="B14" s="70"/>
      <c r="C14" s="51"/>
      <c r="D14" s="51"/>
      <c r="E14" s="51"/>
      <c r="F14" s="51"/>
      <c r="G14" s="51"/>
      <c r="H14" s="51"/>
      <c r="I14" s="51"/>
      <c r="J14" s="51"/>
    </row>
    <row r="15" spans="1:10" x14ac:dyDescent="0.35">
      <c r="A15" s="51"/>
      <c r="B15" s="30" t="s">
        <v>116</v>
      </c>
      <c r="C15" s="51"/>
      <c r="D15" s="51"/>
      <c r="E15" s="51"/>
      <c r="F15" s="51"/>
      <c r="G15" s="51"/>
      <c r="H15" s="51"/>
      <c r="I15" s="51"/>
      <c r="J15" s="51"/>
    </row>
    <row r="16" spans="1:10" x14ac:dyDescent="0.35">
      <c r="A16" s="70"/>
      <c r="B16" s="70"/>
      <c r="C16" s="51"/>
      <c r="D16" s="51"/>
      <c r="E16" s="51"/>
      <c r="F16" s="51"/>
      <c r="G16" s="51" t="s">
        <v>117</v>
      </c>
      <c r="H16" s="51"/>
      <c r="I16" s="51"/>
      <c r="J16" s="51"/>
    </row>
    <row r="17" spans="1:10" x14ac:dyDescent="0.35">
      <c r="A17" s="51">
        <v>1</v>
      </c>
      <c r="B17" s="51" t="s">
        <v>118</v>
      </c>
      <c r="C17" s="51"/>
      <c r="D17" s="51"/>
      <c r="E17" s="51"/>
      <c r="F17" s="51"/>
      <c r="G17" s="51"/>
      <c r="H17" s="51"/>
      <c r="I17" s="51"/>
      <c r="J17" s="51"/>
    </row>
    <row r="18" spans="1:10" x14ac:dyDescent="0.35">
      <c r="A18" s="70"/>
      <c r="B18" s="70"/>
      <c r="C18" s="56" t="s">
        <v>119</v>
      </c>
      <c r="D18" s="56"/>
      <c r="E18" s="51"/>
      <c r="F18" s="51"/>
      <c r="G18" s="51"/>
      <c r="H18" s="51"/>
      <c r="I18" s="51"/>
      <c r="J18" s="51"/>
    </row>
    <row r="19" spans="1:10" x14ac:dyDescent="0.35">
      <c r="A19" s="51"/>
      <c r="B19" s="27" t="s">
        <v>120</v>
      </c>
      <c r="C19" s="31" t="str">
        <f>VLOOKUP("jane doe",B3:E12,4,FALSE)</f>
        <v>Data Scientist</v>
      </c>
      <c r="D19" s="51"/>
      <c r="E19" s="51"/>
      <c r="F19" s="51"/>
      <c r="G19" s="51"/>
      <c r="H19" s="51"/>
      <c r="I19" s="51"/>
      <c r="J19" s="51"/>
    </row>
    <row r="20" spans="1:10" x14ac:dyDescent="0.35">
      <c r="A20" s="70"/>
      <c r="B20" s="70"/>
      <c r="C20" s="51"/>
      <c r="D20" s="51"/>
      <c r="E20" s="51"/>
      <c r="F20" s="51"/>
      <c r="G20" s="51"/>
      <c r="H20" s="51"/>
      <c r="I20" s="51"/>
      <c r="J20" s="51"/>
    </row>
    <row r="21" spans="1:10" x14ac:dyDescent="0.35">
      <c r="A21" s="51">
        <v>2</v>
      </c>
      <c r="B21" s="51" t="s">
        <v>121</v>
      </c>
      <c r="C21" s="51"/>
      <c r="D21" s="51"/>
      <c r="E21" s="51"/>
      <c r="F21" s="51"/>
      <c r="G21" s="51"/>
      <c r="H21" s="51"/>
      <c r="I21" s="51"/>
      <c r="J21" s="51"/>
    </row>
    <row r="22" spans="1:10" x14ac:dyDescent="0.35">
      <c r="A22" s="70"/>
      <c r="B22" s="70"/>
      <c r="C22" s="56" t="s">
        <v>119</v>
      </c>
      <c r="D22" s="56"/>
      <c r="E22" s="51"/>
      <c r="F22" s="51"/>
      <c r="G22" s="51"/>
      <c r="H22" s="51"/>
      <c r="I22" s="51"/>
      <c r="J22" s="51"/>
    </row>
    <row r="23" spans="1:10" x14ac:dyDescent="0.35">
      <c r="A23" s="51"/>
      <c r="B23" s="27" t="s">
        <v>120</v>
      </c>
      <c r="C23" s="31">
        <f>VLOOKUP("mike lee",B3:E12,2,FALSE)</f>
        <v>45</v>
      </c>
      <c r="D23" s="51"/>
      <c r="E23" s="51"/>
      <c r="F23" s="51"/>
      <c r="G23" s="51"/>
      <c r="H23" s="51"/>
      <c r="I23" s="51"/>
      <c r="J23" s="51"/>
    </row>
    <row r="24" spans="1:10" x14ac:dyDescent="0.35">
      <c r="A24" s="70"/>
      <c r="B24" s="70"/>
      <c r="C24" s="51"/>
      <c r="D24" s="51"/>
      <c r="E24" s="51"/>
      <c r="F24" s="51"/>
      <c r="G24" s="51"/>
      <c r="H24" s="51"/>
      <c r="I24" s="51"/>
      <c r="J24" s="51"/>
    </row>
    <row r="25" spans="1:10" x14ac:dyDescent="0.35">
      <c r="A25" s="51">
        <v>2</v>
      </c>
      <c r="B25" s="51" t="s">
        <v>122</v>
      </c>
      <c r="C25" s="51"/>
      <c r="D25" s="51"/>
      <c r="E25" s="51"/>
      <c r="F25" s="51"/>
      <c r="G25" s="51"/>
      <c r="H25" s="51"/>
      <c r="I25" s="51"/>
      <c r="J25" s="51"/>
    </row>
    <row r="26" spans="1:10" x14ac:dyDescent="0.35">
      <c r="A26" s="70"/>
      <c r="B26" s="70"/>
      <c r="C26" s="56" t="s">
        <v>119</v>
      </c>
      <c r="D26" s="56"/>
      <c r="E26" s="51"/>
      <c r="F26" s="51"/>
      <c r="G26" s="51"/>
      <c r="H26" s="51"/>
      <c r="I26" s="51"/>
      <c r="J26" s="51"/>
    </row>
    <row r="27" spans="1:10" x14ac:dyDescent="0.35">
      <c r="A27" s="51"/>
      <c r="B27" s="27" t="s">
        <v>120</v>
      </c>
      <c r="C27" s="31" t="str">
        <f>VLOOKUP("b*",B3:E12,4,FALSE)</f>
        <v>Accountant</v>
      </c>
      <c r="D27" s="51"/>
      <c r="E27" s="51"/>
      <c r="F27" s="51"/>
      <c r="G27" s="51"/>
      <c r="H27" s="51"/>
      <c r="I27" s="51"/>
      <c r="J27" s="51"/>
    </row>
    <row r="28" spans="1:10" x14ac:dyDescent="0.35">
      <c r="A28" s="70"/>
      <c r="B28" s="70"/>
      <c r="C28" s="51"/>
      <c r="D28" s="51"/>
      <c r="E28" s="51"/>
      <c r="F28" s="51"/>
      <c r="G28" s="51"/>
      <c r="H28" s="51"/>
      <c r="I28" s="51"/>
      <c r="J28" s="5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topLeftCell="A12" workbookViewId="0">
      <selection activeCell="H22" sqref="H22"/>
    </sheetView>
  </sheetViews>
  <sheetFormatPr defaultRowHeight="14.5" x14ac:dyDescent="0.35"/>
  <cols>
    <col min="1" max="1" width="17.7265625" customWidth="1"/>
    <col min="7" max="7" width="21.7265625" customWidth="1"/>
  </cols>
  <sheetData>
    <row r="1" spans="1:8" x14ac:dyDescent="0.35">
      <c r="A1" s="48" t="s">
        <v>123</v>
      </c>
      <c r="B1" s="48"/>
      <c r="C1" s="48"/>
      <c r="D1" s="48"/>
      <c r="E1" s="48"/>
      <c r="F1" s="48"/>
      <c r="G1" s="48"/>
      <c r="H1" s="48"/>
    </row>
    <row r="2" spans="1:8" x14ac:dyDescent="0.35">
      <c r="A2" s="48" t="s">
        <v>124</v>
      </c>
      <c r="B2" s="48"/>
      <c r="C2" s="48"/>
      <c r="D2" s="48"/>
      <c r="E2" s="48"/>
      <c r="F2" s="48"/>
      <c r="G2" s="48"/>
      <c r="H2" s="48"/>
    </row>
    <row r="3" spans="1:8" x14ac:dyDescent="0.35">
      <c r="A3" s="48"/>
      <c r="B3" s="48"/>
      <c r="C3" s="48"/>
      <c r="D3" s="48"/>
      <c r="E3" s="48"/>
      <c r="F3" s="48"/>
      <c r="G3" s="48"/>
      <c r="H3" s="48"/>
    </row>
    <row r="4" spans="1:8" x14ac:dyDescent="0.35">
      <c r="A4" s="48"/>
      <c r="B4" s="48"/>
      <c r="C4" s="48"/>
      <c r="D4" s="48"/>
      <c r="E4" s="48"/>
      <c r="F4" s="48"/>
      <c r="G4" s="47" t="s">
        <v>125</v>
      </c>
      <c r="H4" s="48"/>
    </row>
    <row r="5" spans="1:8" x14ac:dyDescent="0.35">
      <c r="A5" s="48"/>
      <c r="B5" s="48"/>
      <c r="C5" s="48"/>
      <c r="D5" s="48"/>
      <c r="E5" s="48"/>
      <c r="F5" s="48"/>
      <c r="G5" s="48"/>
      <c r="H5" s="48"/>
    </row>
    <row r="6" spans="1:8" ht="29" x14ac:dyDescent="0.35">
      <c r="A6" s="48"/>
      <c r="B6" s="48"/>
      <c r="C6" s="48"/>
      <c r="D6" s="48"/>
      <c r="E6" s="48"/>
      <c r="F6" s="48"/>
      <c r="G6" s="32" t="s">
        <v>126</v>
      </c>
      <c r="H6" s="32" t="s">
        <v>127</v>
      </c>
    </row>
    <row r="7" spans="1:8" x14ac:dyDescent="0.35">
      <c r="A7" s="47" t="s">
        <v>126</v>
      </c>
      <c r="B7" s="47" t="s">
        <v>127</v>
      </c>
      <c r="C7" s="48"/>
      <c r="D7" s="48"/>
      <c r="E7" s="48"/>
      <c r="F7" s="48"/>
      <c r="G7" s="33">
        <v>44197</v>
      </c>
      <c r="H7" s="34" t="s">
        <v>128</v>
      </c>
    </row>
    <row r="8" spans="1:8" x14ac:dyDescent="0.35">
      <c r="A8" s="1">
        <v>44317</v>
      </c>
      <c r="B8" s="35" t="str">
        <f>VLOOKUP(A8,G7:H27,2,FALSE)</f>
        <v xml:space="preserve">$1.3624 </v>
      </c>
      <c r="C8" s="48"/>
      <c r="D8" s="48"/>
      <c r="E8" s="48"/>
      <c r="F8" s="48"/>
      <c r="G8" s="33">
        <v>44287</v>
      </c>
      <c r="H8" s="34" t="s">
        <v>129</v>
      </c>
    </row>
    <row r="9" spans="1:8" x14ac:dyDescent="0.35">
      <c r="A9" s="48" t="s">
        <v>130</v>
      </c>
      <c r="B9" s="35" t="str">
        <f>VLOOKUP(A9,G7:H27,2,FALSE)</f>
        <v xml:space="preserve">$1.3586 </v>
      </c>
      <c r="C9" s="48"/>
      <c r="D9" s="48"/>
      <c r="E9" s="48"/>
      <c r="F9" s="48"/>
      <c r="G9" s="33">
        <v>44317</v>
      </c>
      <c r="H9" s="34" t="s">
        <v>131</v>
      </c>
    </row>
    <row r="10" spans="1:8" x14ac:dyDescent="0.35">
      <c r="A10" s="48" t="s">
        <v>132</v>
      </c>
      <c r="B10" s="35" t="str">
        <f>VLOOKUP(A10,G7:H27,2,TRUE)</f>
        <v xml:space="preserve">$1.3684 </v>
      </c>
      <c r="C10" s="48"/>
      <c r="D10" s="48"/>
      <c r="E10" s="48"/>
      <c r="F10" s="48"/>
      <c r="G10" s="33">
        <v>44348</v>
      </c>
      <c r="H10" s="34" t="s">
        <v>133</v>
      </c>
    </row>
    <row r="11" spans="1:8" x14ac:dyDescent="0.35">
      <c r="A11" s="48"/>
      <c r="B11" s="48"/>
      <c r="C11" s="48"/>
      <c r="D11" s="48"/>
      <c r="E11" s="48"/>
      <c r="F11" s="48"/>
      <c r="G11" s="33">
        <v>44378</v>
      </c>
      <c r="H11" s="34" t="s">
        <v>134</v>
      </c>
    </row>
    <row r="12" spans="1:8" x14ac:dyDescent="0.35">
      <c r="A12" s="48"/>
      <c r="B12" s="48"/>
      <c r="C12" s="48"/>
      <c r="D12" s="48"/>
      <c r="E12" s="48"/>
      <c r="F12" s="48"/>
      <c r="G12" s="33">
        <v>44409</v>
      </c>
      <c r="H12" s="34" t="s">
        <v>134</v>
      </c>
    </row>
    <row r="13" spans="1:8" x14ac:dyDescent="0.35">
      <c r="A13" s="48"/>
      <c r="B13" s="48"/>
      <c r="C13" s="48"/>
      <c r="D13" s="48"/>
      <c r="E13" s="48"/>
      <c r="F13" s="48"/>
      <c r="G13" s="33">
        <v>44501</v>
      </c>
      <c r="H13" s="34" t="s">
        <v>135</v>
      </c>
    </row>
    <row r="14" spans="1:8" x14ac:dyDescent="0.35">
      <c r="A14" s="48"/>
      <c r="B14" s="48"/>
      <c r="C14" s="48"/>
      <c r="D14" s="48"/>
      <c r="E14" s="48"/>
      <c r="F14" s="48"/>
      <c r="G14" s="33">
        <v>44531</v>
      </c>
      <c r="H14" s="34" t="s">
        <v>136</v>
      </c>
    </row>
    <row r="15" spans="1:8" x14ac:dyDescent="0.35">
      <c r="A15" s="48"/>
      <c r="B15" s="48"/>
      <c r="C15" s="48"/>
      <c r="D15" s="48"/>
      <c r="E15" s="48"/>
      <c r="F15" s="48"/>
      <c r="G15" s="36" t="s">
        <v>137</v>
      </c>
      <c r="H15" s="34" t="s">
        <v>138</v>
      </c>
    </row>
    <row r="16" spans="1:8" x14ac:dyDescent="0.35">
      <c r="A16" s="48"/>
      <c r="B16" s="48"/>
      <c r="C16" s="48"/>
      <c r="D16" s="48"/>
      <c r="E16" s="48"/>
      <c r="F16" s="48"/>
      <c r="G16" s="36" t="s">
        <v>139</v>
      </c>
      <c r="H16" s="34" t="s">
        <v>140</v>
      </c>
    </row>
    <row r="17" spans="1:8" x14ac:dyDescent="0.35">
      <c r="A17" s="48"/>
      <c r="B17" s="48"/>
      <c r="C17" s="48"/>
      <c r="D17" s="48"/>
      <c r="E17" s="48"/>
      <c r="F17" s="48"/>
      <c r="G17" s="36" t="s">
        <v>130</v>
      </c>
      <c r="H17" s="34" t="s">
        <v>141</v>
      </c>
    </row>
    <row r="18" spans="1:8" x14ac:dyDescent="0.35">
      <c r="A18" s="48"/>
      <c r="B18" s="48"/>
      <c r="C18" s="48"/>
      <c r="D18" s="48"/>
      <c r="E18" s="48"/>
      <c r="F18" s="48"/>
      <c r="G18" s="36" t="s">
        <v>142</v>
      </c>
      <c r="H18" s="34" t="s">
        <v>143</v>
      </c>
    </row>
    <row r="19" spans="1:8" x14ac:dyDescent="0.35">
      <c r="A19" s="48"/>
      <c r="B19" s="48"/>
      <c r="C19" s="48"/>
      <c r="D19" s="48"/>
      <c r="E19" s="48"/>
      <c r="F19" s="48"/>
      <c r="G19" s="36" t="s">
        <v>144</v>
      </c>
      <c r="H19" s="34" t="s">
        <v>145</v>
      </c>
    </row>
    <row r="20" spans="1:8" x14ac:dyDescent="0.35">
      <c r="A20" s="48"/>
      <c r="B20" s="48"/>
      <c r="C20" s="48"/>
      <c r="D20" s="48"/>
      <c r="E20" s="48"/>
      <c r="F20" s="48"/>
      <c r="G20" s="36" t="s">
        <v>146</v>
      </c>
      <c r="H20" s="34" t="s">
        <v>147</v>
      </c>
    </row>
    <row r="21" spans="1:8" x14ac:dyDescent="0.35">
      <c r="A21" s="48"/>
      <c r="B21" s="48"/>
      <c r="C21" s="48"/>
      <c r="D21" s="48"/>
      <c r="E21" s="48"/>
      <c r="F21" s="48"/>
      <c r="G21" s="36" t="s">
        <v>148</v>
      </c>
      <c r="H21" s="34" t="s">
        <v>149</v>
      </c>
    </row>
    <row r="22" spans="1:8" x14ac:dyDescent="0.35">
      <c r="A22" s="48"/>
      <c r="B22" s="48"/>
      <c r="C22" s="48"/>
      <c r="D22" s="48"/>
      <c r="E22" s="48"/>
      <c r="F22" s="48"/>
      <c r="G22" s="36" t="s">
        <v>150</v>
      </c>
      <c r="H22" s="34" t="s">
        <v>151</v>
      </c>
    </row>
    <row r="23" spans="1:8" x14ac:dyDescent="0.35">
      <c r="A23" s="48"/>
      <c r="B23" s="48"/>
      <c r="C23" s="48"/>
      <c r="D23" s="48"/>
      <c r="E23" s="48"/>
      <c r="F23" s="48"/>
      <c r="G23" s="36" t="s">
        <v>152</v>
      </c>
      <c r="H23" s="34" t="s">
        <v>153</v>
      </c>
    </row>
    <row r="24" spans="1:8" x14ac:dyDescent="0.35">
      <c r="A24" s="48"/>
      <c r="B24" s="48"/>
      <c r="C24" s="48"/>
      <c r="D24" s="48"/>
      <c r="E24" s="48"/>
      <c r="F24" s="48"/>
      <c r="G24" s="36" t="s">
        <v>154</v>
      </c>
      <c r="H24" s="34" t="s">
        <v>155</v>
      </c>
    </row>
    <row r="25" spans="1:8" x14ac:dyDescent="0.35">
      <c r="A25" s="48"/>
      <c r="B25" s="48"/>
      <c r="C25" s="48"/>
      <c r="D25" s="48"/>
      <c r="E25" s="48"/>
      <c r="F25" s="48"/>
      <c r="G25" s="36" t="s">
        <v>156</v>
      </c>
      <c r="H25" s="34" t="s">
        <v>157</v>
      </c>
    </row>
    <row r="26" spans="1:8" x14ac:dyDescent="0.35">
      <c r="A26" s="48"/>
      <c r="B26" s="48"/>
      <c r="C26" s="48"/>
      <c r="D26" s="48"/>
      <c r="E26" s="48"/>
      <c r="F26" s="48"/>
      <c r="G26" s="36" t="s">
        <v>158</v>
      </c>
      <c r="H26" s="34" t="s">
        <v>159</v>
      </c>
    </row>
    <row r="27" spans="1:8" x14ac:dyDescent="0.35">
      <c r="A27" s="48"/>
      <c r="B27" s="48"/>
      <c r="C27" s="48"/>
      <c r="D27" s="48"/>
      <c r="E27" s="48"/>
      <c r="F27" s="48"/>
      <c r="G27" s="36" t="s">
        <v>160</v>
      </c>
      <c r="H27" s="34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topLeftCell="B1" zoomScale="88" workbookViewId="0">
      <selection activeCell="C21" sqref="C21"/>
    </sheetView>
  </sheetViews>
  <sheetFormatPr defaultRowHeight="14.5" x14ac:dyDescent="0.35"/>
  <cols>
    <col min="2" max="2" width="19.54296875" customWidth="1"/>
    <col min="3" max="3" width="15.7265625" customWidth="1"/>
    <col min="4" max="4" width="17.26953125" customWidth="1"/>
    <col min="5" max="5" width="20.54296875" customWidth="1"/>
    <col min="6" max="6" width="20.1796875" customWidth="1"/>
    <col min="7" max="7" width="19.1796875" customWidth="1"/>
    <col min="8" max="9" width="14.7265625" customWidth="1"/>
    <col min="10" max="10" width="14.81640625" customWidth="1"/>
    <col min="11" max="11" width="15.7265625" customWidth="1"/>
    <col min="12" max="12" width="17.453125" customWidth="1"/>
  </cols>
  <sheetData>
    <row r="1" spans="1:12" x14ac:dyDescent="0.35">
      <c r="A1" s="72"/>
      <c r="B1" s="72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1:12" x14ac:dyDescent="0.35">
      <c r="A2" s="53"/>
      <c r="B2" s="37" t="s">
        <v>162</v>
      </c>
      <c r="C2" s="53"/>
      <c r="D2" s="53"/>
      <c r="E2" s="53"/>
      <c r="F2" s="53"/>
      <c r="G2" s="53"/>
      <c r="H2" s="53"/>
      <c r="I2" s="53"/>
      <c r="J2" s="53"/>
      <c r="K2" s="53"/>
      <c r="L2" s="53"/>
    </row>
    <row r="3" spans="1:12" x14ac:dyDescent="0.35">
      <c r="A3" s="53"/>
      <c r="B3" s="38" t="s">
        <v>1</v>
      </c>
      <c r="C3" s="38">
        <v>101</v>
      </c>
      <c r="D3" s="38">
        <v>102</v>
      </c>
      <c r="E3" s="38">
        <v>103</v>
      </c>
      <c r="F3" s="38">
        <v>104</v>
      </c>
      <c r="G3" s="38">
        <v>105</v>
      </c>
      <c r="H3" s="38">
        <v>106</v>
      </c>
      <c r="I3" s="38">
        <v>107</v>
      </c>
      <c r="J3" s="38">
        <v>108</v>
      </c>
      <c r="K3" s="38">
        <v>109</v>
      </c>
      <c r="L3" s="38">
        <v>110</v>
      </c>
    </row>
    <row r="4" spans="1:12" x14ac:dyDescent="0.35">
      <c r="A4" s="53"/>
      <c r="B4" s="38" t="s">
        <v>163</v>
      </c>
      <c r="C4" s="39" t="s">
        <v>164</v>
      </c>
      <c r="D4" s="39" t="s">
        <v>165</v>
      </c>
      <c r="E4" s="39" t="s">
        <v>100</v>
      </c>
      <c r="F4" s="39" t="s">
        <v>166</v>
      </c>
      <c r="G4" s="39" t="s">
        <v>167</v>
      </c>
      <c r="H4" s="39" t="s">
        <v>168</v>
      </c>
      <c r="I4" s="39" t="s">
        <v>169</v>
      </c>
      <c r="J4" s="39" t="s">
        <v>170</v>
      </c>
      <c r="K4" s="39" t="s">
        <v>171</v>
      </c>
      <c r="L4" s="39" t="s">
        <v>172</v>
      </c>
    </row>
    <row r="5" spans="1:12" x14ac:dyDescent="0.35">
      <c r="A5" s="53"/>
      <c r="B5" s="38" t="s">
        <v>173</v>
      </c>
      <c r="C5" s="39" t="s">
        <v>103</v>
      </c>
      <c r="D5" s="39" t="s">
        <v>105</v>
      </c>
      <c r="E5" s="39" t="s">
        <v>174</v>
      </c>
      <c r="F5" s="39" t="s">
        <v>175</v>
      </c>
      <c r="G5" s="39" t="s">
        <v>103</v>
      </c>
      <c r="H5" s="39" t="s">
        <v>105</v>
      </c>
      <c r="I5" s="39" t="s">
        <v>174</v>
      </c>
      <c r="J5" s="39" t="s">
        <v>175</v>
      </c>
      <c r="K5" s="39" t="s">
        <v>103</v>
      </c>
      <c r="L5" s="39" t="s">
        <v>105</v>
      </c>
    </row>
    <row r="6" spans="1:12" x14ac:dyDescent="0.35">
      <c r="A6" s="53"/>
      <c r="B6" s="38" t="s">
        <v>4</v>
      </c>
      <c r="C6" s="39">
        <v>50000</v>
      </c>
      <c r="D6" s="39">
        <v>55000</v>
      </c>
      <c r="E6" s="39">
        <v>60000</v>
      </c>
      <c r="F6" s="39">
        <v>65000</v>
      </c>
      <c r="G6" s="39">
        <v>70000</v>
      </c>
      <c r="H6" s="39">
        <v>75000</v>
      </c>
      <c r="I6" s="39">
        <v>80000</v>
      </c>
      <c r="J6" s="39">
        <v>85000</v>
      </c>
      <c r="K6" s="39">
        <v>90000</v>
      </c>
      <c r="L6" s="39">
        <v>95000</v>
      </c>
    </row>
    <row r="7" spans="1:12" x14ac:dyDescent="0.35">
      <c r="A7" s="53"/>
      <c r="B7" s="38" t="s">
        <v>176</v>
      </c>
      <c r="C7" s="39">
        <v>2000</v>
      </c>
      <c r="D7" s="39">
        <v>2500</v>
      </c>
      <c r="E7" s="39">
        <v>3000</v>
      </c>
      <c r="F7" s="39">
        <v>3500</v>
      </c>
      <c r="G7" s="39">
        <v>4000</v>
      </c>
      <c r="H7" s="39">
        <v>4500</v>
      </c>
      <c r="I7" s="39">
        <v>5000</v>
      </c>
      <c r="J7" s="39">
        <v>5500</v>
      </c>
      <c r="K7" s="39">
        <v>6000</v>
      </c>
      <c r="L7" s="39">
        <v>6500</v>
      </c>
    </row>
    <row r="8" spans="1:12" x14ac:dyDescent="0.35">
      <c r="A8" s="53"/>
      <c r="B8" s="38" t="s">
        <v>177</v>
      </c>
      <c r="C8" s="39">
        <v>52000</v>
      </c>
      <c r="D8" s="39">
        <v>57500</v>
      </c>
      <c r="E8" s="39">
        <v>63000</v>
      </c>
      <c r="F8" s="39">
        <v>685000</v>
      </c>
      <c r="G8" s="39">
        <v>74000</v>
      </c>
      <c r="H8" s="39">
        <v>79500</v>
      </c>
      <c r="I8" s="39">
        <v>85000</v>
      </c>
      <c r="J8" s="39">
        <v>90500</v>
      </c>
      <c r="K8" s="39">
        <v>96000</v>
      </c>
      <c r="L8" s="39">
        <v>101500</v>
      </c>
    </row>
    <row r="9" spans="1:12" x14ac:dyDescent="0.35">
      <c r="A9" s="72"/>
      <c r="B9" s="72"/>
      <c r="C9" s="53"/>
      <c r="D9" s="53"/>
      <c r="E9" s="53"/>
      <c r="F9" s="53"/>
      <c r="G9" s="53"/>
      <c r="H9" s="53"/>
      <c r="I9" s="53"/>
      <c r="J9" s="53"/>
      <c r="K9" s="53"/>
      <c r="L9" s="53"/>
    </row>
    <row r="10" spans="1:12" x14ac:dyDescent="0.35">
      <c r="A10" s="52">
        <v>1</v>
      </c>
      <c r="B10" s="37" t="s">
        <v>178</v>
      </c>
      <c r="C10" s="53"/>
      <c r="D10" s="53"/>
      <c r="E10" s="53"/>
      <c r="F10" s="53"/>
      <c r="G10" s="53"/>
      <c r="H10" s="53"/>
      <c r="I10" s="53"/>
      <c r="J10" s="53"/>
      <c r="K10" s="53"/>
      <c r="L10" s="53"/>
    </row>
    <row r="11" spans="1:12" x14ac:dyDescent="0.35">
      <c r="A11" s="71"/>
      <c r="B11" s="71"/>
      <c r="C11" s="37"/>
      <c r="D11" s="37"/>
      <c r="E11" s="53"/>
      <c r="F11" s="53"/>
      <c r="G11" s="53"/>
      <c r="H11" s="53"/>
      <c r="I11" s="53"/>
      <c r="J11" s="53"/>
      <c r="K11" s="53"/>
      <c r="L11" s="53"/>
    </row>
    <row r="12" spans="1:12" x14ac:dyDescent="0.35">
      <c r="A12" s="52"/>
      <c r="B12" s="53" t="s">
        <v>120</v>
      </c>
      <c r="C12" s="40" t="str">
        <f>_xlfn.XLOOKUP(102,C3:L3,C5:L5,"not found")</f>
        <v>Marketing</v>
      </c>
      <c r="D12" s="53"/>
      <c r="E12" s="53"/>
      <c r="F12" s="53"/>
      <c r="G12" s="53"/>
      <c r="H12" s="53"/>
      <c r="I12" s="53"/>
      <c r="J12" s="53"/>
      <c r="K12" s="53"/>
      <c r="L12" s="53"/>
    </row>
    <row r="13" spans="1:12" x14ac:dyDescent="0.35">
      <c r="A13" s="71"/>
      <c r="B13" s="71"/>
      <c r="C13" s="53"/>
      <c r="D13" s="53"/>
      <c r="E13" s="53"/>
      <c r="F13" s="53"/>
      <c r="G13" s="53"/>
      <c r="H13" s="53"/>
      <c r="I13" s="53"/>
      <c r="J13" s="53"/>
      <c r="K13" s="53"/>
      <c r="L13" s="53"/>
    </row>
    <row r="14" spans="1:12" x14ac:dyDescent="0.35">
      <c r="A14" s="52">
        <v>2</v>
      </c>
      <c r="B14" s="37" t="s">
        <v>179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</row>
    <row r="15" spans="1:12" x14ac:dyDescent="0.35">
      <c r="A15" s="71"/>
      <c r="B15" s="71"/>
      <c r="C15" s="37"/>
      <c r="D15" s="37"/>
      <c r="E15" s="53"/>
      <c r="F15" s="53"/>
      <c r="G15" s="53"/>
      <c r="H15" s="53"/>
      <c r="I15" s="53"/>
      <c r="J15" s="53"/>
      <c r="K15" s="53"/>
      <c r="L15" s="53"/>
    </row>
    <row r="16" spans="1:12" x14ac:dyDescent="0.35">
      <c r="A16" s="52"/>
      <c r="B16" s="53" t="s">
        <v>120</v>
      </c>
      <c r="C16" s="40">
        <f>_xlfn.XLOOKUP(105,C3:L3,C6:L6,"not found")</f>
        <v>70000</v>
      </c>
      <c r="D16" s="53"/>
      <c r="E16" s="53"/>
      <c r="F16" s="53"/>
      <c r="G16" s="53"/>
      <c r="H16" s="53"/>
      <c r="I16" s="53"/>
      <c r="J16" s="53"/>
      <c r="K16" s="53"/>
      <c r="L16" s="53"/>
    </row>
    <row r="17" spans="1:12" x14ac:dyDescent="0.35">
      <c r="A17" s="71"/>
      <c r="B17" s="71"/>
      <c r="C17" s="53"/>
      <c r="D17" s="53"/>
      <c r="E17" s="53"/>
      <c r="F17" s="53"/>
      <c r="G17" s="53"/>
      <c r="H17" s="53"/>
      <c r="I17" s="53"/>
      <c r="J17" s="53"/>
      <c r="K17" s="53"/>
      <c r="L17" s="53"/>
    </row>
    <row r="18" spans="1:12" x14ac:dyDescent="0.35">
      <c r="A18" s="71"/>
      <c r="B18" s="71"/>
      <c r="C18" s="53"/>
      <c r="D18" s="53"/>
      <c r="E18" s="53"/>
      <c r="F18" s="53"/>
      <c r="G18" s="53"/>
      <c r="H18" s="53"/>
      <c r="I18" s="53"/>
      <c r="J18" s="53"/>
      <c r="K18" s="53"/>
      <c r="L18" s="53"/>
    </row>
    <row r="19" spans="1:12" x14ac:dyDescent="0.35">
      <c r="A19" s="52">
        <v>3</v>
      </c>
      <c r="B19" s="37" t="s">
        <v>180</v>
      </c>
      <c r="C19" s="37"/>
      <c r="D19" s="37"/>
      <c r="E19" s="53"/>
      <c r="F19" s="53"/>
      <c r="G19" s="53"/>
      <c r="H19" s="53"/>
      <c r="I19" s="53"/>
      <c r="J19" s="53"/>
      <c r="K19" s="53"/>
      <c r="L19" s="53"/>
    </row>
    <row r="20" spans="1:12" x14ac:dyDescent="0.35">
      <c r="A20" s="52"/>
      <c r="B20" s="52" t="s">
        <v>120</v>
      </c>
      <c r="C20" s="40">
        <f>_xlfn.XLOOKUP(107,C3:L3,C8:L8,"NOT FOUND")</f>
        <v>85000</v>
      </c>
      <c r="D20" s="53"/>
      <c r="E20" s="53"/>
      <c r="F20" s="53"/>
      <c r="G20" s="53"/>
      <c r="H20" s="53"/>
      <c r="I20" s="53"/>
      <c r="J20" s="53"/>
      <c r="K20" s="53"/>
      <c r="L20" s="53"/>
    </row>
    <row r="21" spans="1:12" x14ac:dyDescent="0.35">
      <c r="A21" s="71"/>
      <c r="B21" s="71"/>
      <c r="C21" s="53"/>
      <c r="D21" s="53"/>
      <c r="E21" s="53"/>
      <c r="F21" s="53"/>
      <c r="G21" s="53"/>
      <c r="H21" s="53"/>
      <c r="I21" s="53"/>
      <c r="J21" s="53"/>
      <c r="K21" s="53"/>
      <c r="L21" s="53"/>
    </row>
    <row r="22" spans="1:12" x14ac:dyDescent="0.35">
      <c r="A22" s="71"/>
      <c r="B22" s="71"/>
      <c r="C22" s="53"/>
      <c r="D22" s="53"/>
      <c r="E22" s="53"/>
      <c r="F22" s="53"/>
      <c r="G22" s="53"/>
      <c r="H22" s="53"/>
      <c r="I22" s="53"/>
      <c r="J22" s="53"/>
      <c r="K22" s="53"/>
      <c r="L22" s="5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P21"/>
  <sheetViews>
    <sheetView zoomScale="98" zoomScaleNormal="98" workbookViewId="0">
      <selection activeCell="H21" sqref="H21"/>
    </sheetView>
  </sheetViews>
  <sheetFormatPr defaultRowHeight="14.5" x14ac:dyDescent="0.35"/>
  <cols>
    <col min="3" max="3" width="11.36328125" style="60" bestFit="1" customWidth="1"/>
    <col min="5" max="5" width="17.7265625" customWidth="1"/>
    <col min="7" max="7" width="25.26953125" customWidth="1"/>
  </cols>
  <sheetData>
    <row r="1" spans="1:16" x14ac:dyDescent="0.35">
      <c r="A1" s="48"/>
      <c r="B1" s="23" t="s">
        <v>181</v>
      </c>
      <c r="C1" s="58" t="s">
        <v>182</v>
      </c>
      <c r="D1" s="23" t="s">
        <v>183</v>
      </c>
      <c r="E1" s="23" t="s">
        <v>184</v>
      </c>
      <c r="F1" s="48"/>
      <c r="G1" s="48"/>
      <c r="H1" s="48"/>
    </row>
    <row r="2" spans="1:16" x14ac:dyDescent="0.35">
      <c r="A2" s="48"/>
      <c r="B2" s="41">
        <v>1</v>
      </c>
      <c r="C2" s="57">
        <v>8000</v>
      </c>
      <c r="D2" s="41" t="s">
        <v>185</v>
      </c>
      <c r="E2" s="41">
        <v>10</v>
      </c>
      <c r="F2" s="48"/>
      <c r="G2" s="48"/>
      <c r="H2" s="48"/>
    </row>
    <row r="3" spans="1:16" x14ac:dyDescent="0.35">
      <c r="A3" s="48"/>
      <c r="B3" s="41">
        <v>2</v>
      </c>
      <c r="C3" s="57">
        <v>11000</v>
      </c>
      <c r="D3" s="41" t="s">
        <v>185</v>
      </c>
      <c r="E3" s="41">
        <v>9</v>
      </c>
      <c r="F3" s="48"/>
      <c r="G3" s="48"/>
      <c r="H3" s="48"/>
    </row>
    <row r="4" spans="1:16" x14ac:dyDescent="0.35">
      <c r="A4" s="48"/>
      <c r="B4" s="41">
        <v>3</v>
      </c>
      <c r="C4" s="57">
        <v>6000</v>
      </c>
      <c r="D4" s="41" t="s">
        <v>186</v>
      </c>
      <c r="E4" s="41">
        <v>5</v>
      </c>
      <c r="F4" s="48"/>
      <c r="G4" s="48"/>
      <c r="H4" s="48"/>
      <c r="P4">
        <v>6</v>
      </c>
    </row>
    <row r="5" spans="1:16" x14ac:dyDescent="0.35">
      <c r="A5" s="48"/>
      <c r="B5" s="41">
        <v>4</v>
      </c>
      <c r="C5" s="57">
        <v>15000</v>
      </c>
      <c r="D5" s="41" t="s">
        <v>185</v>
      </c>
      <c r="E5" s="41">
        <v>10</v>
      </c>
      <c r="F5" s="48"/>
      <c r="G5" s="48"/>
      <c r="H5" s="48"/>
    </row>
    <row r="6" spans="1:16" x14ac:dyDescent="0.35">
      <c r="A6" s="48"/>
      <c r="B6" s="41">
        <v>5</v>
      </c>
      <c r="C6" s="57">
        <v>10000</v>
      </c>
      <c r="D6" s="41" t="s">
        <v>186</v>
      </c>
      <c r="E6" s="41">
        <v>2</v>
      </c>
      <c r="F6" s="48"/>
      <c r="G6" s="48"/>
      <c r="H6" s="48"/>
    </row>
    <row r="7" spans="1:16" x14ac:dyDescent="0.35">
      <c r="A7" s="48"/>
      <c r="B7" s="41">
        <v>6</v>
      </c>
      <c r="C7" s="57">
        <v>15000</v>
      </c>
      <c r="D7" s="41" t="s">
        <v>185</v>
      </c>
      <c r="E7" s="41">
        <v>5</v>
      </c>
      <c r="F7" s="48"/>
      <c r="G7" s="48"/>
      <c r="H7" s="48"/>
    </row>
    <row r="8" spans="1:16" x14ac:dyDescent="0.35">
      <c r="A8" s="48"/>
      <c r="B8" s="41">
        <v>7</v>
      </c>
      <c r="C8" s="57">
        <v>13000</v>
      </c>
      <c r="D8" s="41" t="s">
        <v>185</v>
      </c>
      <c r="E8" s="41">
        <v>999</v>
      </c>
      <c r="F8" s="48"/>
      <c r="G8" s="48"/>
      <c r="H8" s="48"/>
    </row>
    <row r="9" spans="1:16" x14ac:dyDescent="0.35">
      <c r="A9" s="48"/>
      <c r="B9" s="41">
        <v>8</v>
      </c>
      <c r="C9" s="57">
        <v>8000</v>
      </c>
      <c r="D9" s="41" t="s">
        <v>185</v>
      </c>
      <c r="E9" s="41">
        <v>2</v>
      </c>
      <c r="F9" s="48"/>
      <c r="G9" s="48"/>
      <c r="H9" s="48"/>
    </row>
    <row r="10" spans="1:16" x14ac:dyDescent="0.35">
      <c r="A10" s="48"/>
      <c r="B10" s="41">
        <v>9</v>
      </c>
      <c r="C10" s="57">
        <v>11000</v>
      </c>
      <c r="D10" s="41" t="s">
        <v>186</v>
      </c>
      <c r="E10" s="41">
        <v>5</v>
      </c>
      <c r="F10" s="48"/>
      <c r="G10" s="48"/>
      <c r="H10" s="48"/>
    </row>
    <row r="11" spans="1:16" x14ac:dyDescent="0.35">
      <c r="A11" s="48"/>
      <c r="B11" s="41">
        <v>10</v>
      </c>
      <c r="C11" s="57">
        <v>9000</v>
      </c>
      <c r="D11" s="41" t="s">
        <v>185</v>
      </c>
      <c r="E11" s="41">
        <v>6</v>
      </c>
      <c r="F11" s="48"/>
      <c r="G11" s="48"/>
      <c r="H11" s="48"/>
    </row>
    <row r="12" spans="1:16" x14ac:dyDescent="0.35">
      <c r="A12" s="67"/>
      <c r="B12" s="67"/>
      <c r="C12" s="59"/>
      <c r="D12" s="48"/>
      <c r="E12" s="48"/>
      <c r="F12" s="48"/>
      <c r="G12" s="48"/>
      <c r="H12" s="48"/>
    </row>
    <row r="13" spans="1:16" x14ac:dyDescent="0.35">
      <c r="A13" s="67"/>
      <c r="B13" s="67"/>
      <c r="C13" s="59"/>
      <c r="D13" s="48"/>
      <c r="E13" s="48"/>
      <c r="F13" s="48"/>
      <c r="G13" s="48"/>
      <c r="H13" s="48"/>
    </row>
    <row r="14" spans="1:16" ht="15" thickBot="1" x14ac:dyDescent="0.4">
      <c r="A14" s="48"/>
      <c r="B14" s="47" t="s">
        <v>187</v>
      </c>
      <c r="C14" s="59"/>
      <c r="D14" s="48"/>
      <c r="E14" s="48"/>
      <c r="F14" s="48"/>
      <c r="G14" s="48"/>
      <c r="H14" s="48"/>
    </row>
    <row r="15" spans="1:16" ht="15" thickBot="1" x14ac:dyDescent="0.4">
      <c r="A15" s="48">
        <v>1</v>
      </c>
      <c r="B15" s="48" t="s">
        <v>188</v>
      </c>
      <c r="C15" s="59"/>
      <c r="D15" s="48"/>
      <c r="E15" s="48"/>
      <c r="F15" s="48"/>
      <c r="G15" s="48"/>
      <c r="H15" s="42">
        <f>SUMIFS(C2:C11,D2:D11,"yes")</f>
        <v>79000</v>
      </c>
    </row>
    <row r="16" spans="1:16" ht="15" thickBot="1" x14ac:dyDescent="0.4">
      <c r="A16" s="48">
        <v>2</v>
      </c>
      <c r="B16" s="48" t="s">
        <v>189</v>
      </c>
      <c r="C16" s="59"/>
      <c r="D16" s="48"/>
      <c r="E16" s="48"/>
      <c r="F16" s="48"/>
      <c r="G16" s="48"/>
      <c r="H16" s="42">
        <f>SUMIFS(C3:C12,D3:D12,"no")</f>
        <v>27000</v>
      </c>
    </row>
    <row r="17" spans="1:8" ht="15" thickBot="1" x14ac:dyDescent="0.4">
      <c r="A17" s="67"/>
      <c r="B17" s="67"/>
      <c r="C17" s="59"/>
      <c r="D17" s="48"/>
      <c r="E17" s="48"/>
      <c r="F17" s="48"/>
      <c r="G17" s="48"/>
      <c r="H17" s="48"/>
    </row>
    <row r="18" spans="1:8" ht="15" thickBot="1" x14ac:dyDescent="0.4">
      <c r="A18" s="48">
        <v>3</v>
      </c>
      <c r="B18" s="48" t="s">
        <v>190</v>
      </c>
      <c r="C18" s="59"/>
      <c r="D18" s="48"/>
      <c r="E18" s="48"/>
      <c r="F18" s="48"/>
      <c r="G18" s="48"/>
      <c r="H18" s="42">
        <f>SUMIF(C2:C11,"&gt;10000",E2:E11)</f>
        <v>1028</v>
      </c>
    </row>
    <row r="19" spans="1:8" ht="15" thickBot="1" x14ac:dyDescent="0.4">
      <c r="A19" s="67"/>
      <c r="B19" s="67"/>
      <c r="C19" s="59"/>
      <c r="D19" s="48"/>
      <c r="E19" s="48"/>
      <c r="F19" s="48"/>
      <c r="G19" s="48"/>
      <c r="H19" s="48"/>
    </row>
    <row r="20" spans="1:8" ht="15" thickBot="1" x14ac:dyDescent="0.4">
      <c r="A20" s="48">
        <v>4</v>
      </c>
      <c r="B20" s="48" t="s">
        <v>191</v>
      </c>
      <c r="C20" s="59"/>
      <c r="D20" s="48"/>
      <c r="E20" s="48"/>
      <c r="F20" s="48"/>
      <c r="G20" s="48"/>
      <c r="H20" s="42">
        <f>SUMIF(C2:C11,"&gt;10000",C2:C11)</f>
        <v>65000</v>
      </c>
    </row>
    <row r="21" spans="1:8" ht="15" thickBot="1" x14ac:dyDescent="0.4">
      <c r="A21" s="48">
        <v>5</v>
      </c>
      <c r="B21" s="48" t="s">
        <v>192</v>
      </c>
      <c r="C21" s="59"/>
      <c r="D21" s="48"/>
      <c r="E21" s="48"/>
      <c r="F21" s="48"/>
      <c r="G21" s="48"/>
      <c r="H21" s="42">
        <f>SUMIF(C3:C12,"&lt;9500",C3:C12)</f>
        <v>23000</v>
      </c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tabSelected="1" topLeftCell="D1" zoomScale="87" workbookViewId="0">
      <selection activeCell="F5" sqref="F5"/>
    </sheetView>
  </sheetViews>
  <sheetFormatPr defaultRowHeight="14.5" x14ac:dyDescent="0.35"/>
  <cols>
    <col min="2" max="2" width="80.7265625" customWidth="1"/>
    <col min="3" max="3" width="13.81640625" customWidth="1"/>
    <col min="4" max="4" width="8.7265625" customWidth="1"/>
    <col min="7" max="7" width="14.1796875" customWidth="1"/>
  </cols>
  <sheetData>
    <row r="1" spans="1:11" x14ac:dyDescent="0.35">
      <c r="A1" s="54"/>
      <c r="B1" s="43" t="s">
        <v>193</v>
      </c>
      <c r="C1" s="61"/>
      <c r="D1" s="61"/>
      <c r="E1" s="54"/>
      <c r="F1" s="54"/>
      <c r="G1" s="54"/>
      <c r="H1" s="54"/>
      <c r="I1" s="54"/>
      <c r="J1" s="54"/>
      <c r="K1" s="54"/>
    </row>
    <row r="2" spans="1:11" x14ac:dyDescent="0.35">
      <c r="A2" s="54"/>
      <c r="B2" s="54"/>
      <c r="C2" s="64"/>
      <c r="D2" s="64"/>
      <c r="E2" s="54"/>
      <c r="F2" s="64"/>
      <c r="G2" s="64"/>
      <c r="H2" s="54"/>
      <c r="I2" s="54"/>
      <c r="J2" s="54"/>
      <c r="K2" s="54"/>
    </row>
    <row r="3" spans="1:11" x14ac:dyDescent="0.35">
      <c r="A3" s="54"/>
      <c r="B3" s="44" t="s">
        <v>194</v>
      </c>
      <c r="C3" s="44" t="s">
        <v>195</v>
      </c>
      <c r="D3" s="44" t="s">
        <v>196</v>
      </c>
      <c r="E3" s="44" t="s">
        <v>197</v>
      </c>
      <c r="F3" s="44" t="s">
        <v>198</v>
      </c>
      <c r="G3" s="44" t="s">
        <v>199</v>
      </c>
      <c r="I3" s="54"/>
      <c r="J3" s="54"/>
    </row>
    <row r="4" spans="1:11" x14ac:dyDescent="0.35">
      <c r="A4" s="54"/>
      <c r="B4" s="45" t="s">
        <v>200</v>
      </c>
      <c r="C4" s="45">
        <v>5</v>
      </c>
      <c r="D4" s="45" t="s">
        <v>201</v>
      </c>
      <c r="E4" s="45">
        <v>15</v>
      </c>
      <c r="F4" s="45">
        <v>500</v>
      </c>
      <c r="G4" s="45">
        <v>7500</v>
      </c>
      <c r="I4" s="54"/>
      <c r="J4" s="54"/>
    </row>
    <row r="5" spans="1:11" x14ac:dyDescent="0.35">
      <c r="A5" s="54"/>
      <c r="B5" s="45" t="s">
        <v>202</v>
      </c>
      <c r="C5" s="45">
        <v>4</v>
      </c>
      <c r="D5" s="45" t="s">
        <v>201</v>
      </c>
      <c r="E5" s="45">
        <v>10</v>
      </c>
      <c r="F5" s="45">
        <v>800</v>
      </c>
      <c r="G5" s="45">
        <v>8000</v>
      </c>
      <c r="I5" s="54"/>
      <c r="J5" s="54"/>
    </row>
    <row r="6" spans="1:11" x14ac:dyDescent="0.35">
      <c r="A6" s="54"/>
      <c r="B6" s="45" t="s">
        <v>203</v>
      </c>
      <c r="C6" s="45">
        <v>3</v>
      </c>
      <c r="D6" s="45" t="s">
        <v>204</v>
      </c>
      <c r="E6" s="45">
        <v>20</v>
      </c>
      <c r="F6" s="45">
        <v>400</v>
      </c>
      <c r="G6" s="45">
        <v>8000</v>
      </c>
      <c r="I6" s="54"/>
      <c r="J6" s="54"/>
    </row>
    <row r="7" spans="1:11" x14ac:dyDescent="0.35">
      <c r="A7" s="54"/>
      <c r="B7" s="45" t="s">
        <v>205</v>
      </c>
      <c r="C7" s="45">
        <v>4</v>
      </c>
      <c r="D7" s="45" t="s">
        <v>201</v>
      </c>
      <c r="E7" s="45">
        <v>12</v>
      </c>
      <c r="F7" s="45">
        <v>1000</v>
      </c>
      <c r="G7" s="45">
        <v>12000</v>
      </c>
      <c r="I7" s="54"/>
      <c r="J7" s="54"/>
    </row>
    <row r="8" spans="1:11" x14ac:dyDescent="0.35">
      <c r="A8" s="54"/>
      <c r="B8" s="45" t="s">
        <v>206</v>
      </c>
      <c r="C8" s="45">
        <v>5</v>
      </c>
      <c r="D8" s="45" t="s">
        <v>201</v>
      </c>
      <c r="E8" s="45">
        <v>14</v>
      </c>
      <c r="F8" s="45">
        <v>1500</v>
      </c>
      <c r="G8" s="45">
        <v>21000</v>
      </c>
      <c r="I8" s="54"/>
      <c r="J8" s="54"/>
    </row>
    <row r="9" spans="1:11" x14ac:dyDescent="0.35">
      <c r="A9" s="54"/>
      <c r="B9" s="45" t="s">
        <v>207</v>
      </c>
      <c r="C9" s="45">
        <v>4</v>
      </c>
      <c r="D9" s="45" t="s">
        <v>208</v>
      </c>
      <c r="E9" s="45">
        <v>18</v>
      </c>
      <c r="F9" s="45">
        <v>600</v>
      </c>
      <c r="G9" s="45">
        <v>10800</v>
      </c>
      <c r="I9" s="54" t="s">
        <v>213</v>
      </c>
      <c r="J9" s="54"/>
    </row>
    <row r="10" spans="1:11" x14ac:dyDescent="0.35">
      <c r="A10" s="54"/>
      <c r="B10" s="54"/>
      <c r="C10" s="65"/>
      <c r="D10" s="65"/>
      <c r="E10" s="54"/>
      <c r="F10" s="65"/>
      <c r="G10" s="65"/>
      <c r="I10" s="54"/>
      <c r="J10" s="54"/>
    </row>
    <row r="11" spans="1:11" x14ac:dyDescent="0.35">
      <c r="A11" s="54">
        <v>1</v>
      </c>
      <c r="B11" s="55" t="s">
        <v>209</v>
      </c>
      <c r="C11" s="61"/>
      <c r="D11" s="61"/>
      <c r="E11" s="54"/>
      <c r="F11" s="61"/>
      <c r="G11" s="61"/>
      <c r="J11" s="54"/>
    </row>
    <row r="12" spans="1:11" x14ac:dyDescent="0.35">
      <c r="A12" s="54"/>
      <c r="B12" s="54"/>
      <c r="C12" s="63" t="s">
        <v>119</v>
      </c>
      <c r="D12" s="63"/>
      <c r="E12" s="54"/>
      <c r="F12" s="61"/>
      <c r="G12" s="61"/>
      <c r="I12" s="54"/>
      <c r="J12" s="54"/>
    </row>
    <row r="13" spans="1:11" x14ac:dyDescent="0.35">
      <c r="A13" s="54"/>
      <c r="B13" s="27" t="s">
        <v>120</v>
      </c>
      <c r="C13" s="31">
        <f>SUMIFS(Sheet12!G4:G9,C4:C9,5,D4:D9,"june")</f>
        <v>28500</v>
      </c>
      <c r="D13" s="54"/>
      <c r="E13" s="54"/>
      <c r="F13" s="61"/>
      <c r="G13" s="61"/>
      <c r="I13" s="54"/>
      <c r="J13" s="54"/>
    </row>
    <row r="14" spans="1:11" x14ac:dyDescent="0.35">
      <c r="A14" s="54"/>
      <c r="B14" s="54"/>
      <c r="C14" s="62"/>
      <c r="D14" s="62"/>
      <c r="E14" s="54"/>
      <c r="F14" s="61"/>
      <c r="G14" s="61"/>
      <c r="H14" s="54"/>
      <c r="I14" s="54"/>
      <c r="J14" s="54"/>
      <c r="K14" s="54"/>
    </row>
    <row r="15" spans="1:11" x14ac:dyDescent="0.35">
      <c r="A15" s="54"/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spans="1:11" x14ac:dyDescent="0.35">
      <c r="A16" s="54">
        <v>2</v>
      </c>
      <c r="B16" s="55" t="s">
        <v>210</v>
      </c>
      <c r="C16" s="61"/>
      <c r="D16" s="61"/>
      <c r="E16" s="54"/>
      <c r="F16" s="61"/>
      <c r="G16" s="61"/>
      <c r="H16" s="54"/>
      <c r="I16" s="54"/>
      <c r="J16" s="54"/>
      <c r="K16" s="54"/>
    </row>
    <row r="17" spans="1:11" x14ac:dyDescent="0.35">
      <c r="A17" s="54"/>
      <c r="B17" s="54"/>
      <c r="C17" s="61"/>
      <c r="D17" s="61"/>
      <c r="E17" s="54"/>
      <c r="F17" s="61"/>
      <c r="G17" s="61"/>
      <c r="H17" s="54"/>
      <c r="I17" s="54"/>
      <c r="J17" s="54"/>
      <c r="K17" s="55"/>
    </row>
    <row r="18" spans="1:11" x14ac:dyDescent="0.35">
      <c r="A18" s="54"/>
      <c r="B18" s="54"/>
      <c r="C18" s="63" t="s">
        <v>119</v>
      </c>
      <c r="D18" s="63"/>
      <c r="E18" s="54"/>
      <c r="F18" s="61"/>
      <c r="G18" s="61"/>
      <c r="H18" s="54"/>
      <c r="I18" s="54"/>
      <c r="J18" s="54"/>
      <c r="K18" s="55"/>
    </row>
    <row r="19" spans="1:11" x14ac:dyDescent="0.35">
      <c r="A19" s="54"/>
      <c r="B19" s="27" t="s">
        <v>120</v>
      </c>
      <c r="C19" s="31">
        <f>SUMIFS(G4:G9,C4:C9,"&gt;=4",D4:D9,"june")</f>
        <v>48500</v>
      </c>
      <c r="D19" s="54"/>
      <c r="E19" s="54"/>
      <c r="F19" s="61"/>
      <c r="G19" s="61"/>
      <c r="H19" s="54"/>
      <c r="I19" s="54"/>
      <c r="J19" s="54"/>
      <c r="K19" s="55"/>
    </row>
    <row r="20" spans="1:11" x14ac:dyDescent="0.35">
      <c r="A20" s="54"/>
      <c r="B20" s="54"/>
      <c r="C20" s="61"/>
      <c r="D20" s="61"/>
      <c r="E20" s="54"/>
      <c r="F20" s="61"/>
      <c r="G20" s="61"/>
      <c r="H20" s="54"/>
      <c r="I20" s="54"/>
      <c r="J20" s="54"/>
      <c r="K20" s="54"/>
    </row>
    <row r="21" spans="1:11" x14ac:dyDescent="0.35">
      <c r="A21" s="54"/>
      <c r="B21" s="54"/>
      <c r="C21" s="62"/>
      <c r="D21" s="62"/>
      <c r="E21" s="54"/>
      <c r="F21" s="61"/>
      <c r="G21" s="61"/>
      <c r="H21" s="54"/>
      <c r="I21" s="54"/>
      <c r="J21" s="54"/>
      <c r="K21" s="55"/>
    </row>
    <row r="22" spans="1:11" x14ac:dyDescent="0.35">
      <c r="A22" s="54">
        <v>3</v>
      </c>
      <c r="B22" s="55" t="s">
        <v>211</v>
      </c>
      <c r="C22" s="61"/>
      <c r="D22" s="61"/>
      <c r="E22" s="54"/>
      <c r="F22" s="61"/>
      <c r="G22" s="61"/>
      <c r="H22" s="54"/>
      <c r="I22" s="54"/>
      <c r="J22" s="54"/>
      <c r="K22" s="54"/>
    </row>
    <row r="23" spans="1:11" x14ac:dyDescent="0.35">
      <c r="A23" s="54"/>
      <c r="B23" s="54"/>
      <c r="C23" s="63" t="s">
        <v>119</v>
      </c>
      <c r="D23" s="63"/>
      <c r="E23" s="54"/>
      <c r="F23" s="61"/>
      <c r="G23" s="61"/>
      <c r="H23" s="54"/>
      <c r="I23" s="54"/>
      <c r="J23" s="54"/>
      <c r="K23" s="54"/>
    </row>
    <row r="24" spans="1:11" x14ac:dyDescent="0.35">
      <c r="A24" s="54"/>
      <c r="B24" s="27" t="s">
        <v>120</v>
      </c>
      <c r="C24" s="31">
        <f>SUMIFS(E4:E9,C4:C9,"&gt;=4",F4:F9,"800")</f>
        <v>10</v>
      </c>
      <c r="D24" s="54"/>
      <c r="E24" s="54"/>
      <c r="F24" s="61"/>
      <c r="G24" s="61"/>
      <c r="H24" s="54"/>
      <c r="I24" s="54"/>
      <c r="J24" s="54"/>
      <c r="K24" s="54"/>
    </row>
    <row r="25" spans="1:11" x14ac:dyDescent="0.35">
      <c r="A25" s="54"/>
      <c r="B25" s="54"/>
      <c r="C25" s="61"/>
      <c r="D25" s="61"/>
      <c r="E25" s="54"/>
      <c r="F25" s="61"/>
      <c r="G25" s="61"/>
      <c r="H25" s="54"/>
      <c r="I25" s="54"/>
      <c r="J25" s="54"/>
      <c r="K25" s="54"/>
    </row>
  </sheetData>
  <mergeCells count="30">
    <mergeCell ref="C11:D11"/>
    <mergeCell ref="F11:G11"/>
    <mergeCell ref="C1:D1"/>
    <mergeCell ref="C2:D2"/>
    <mergeCell ref="F2:G2"/>
    <mergeCell ref="C10:D10"/>
    <mergeCell ref="F10:G10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rasia naseem</dc:creator>
  <cp:keywords/>
  <dc:description/>
  <cp:lastModifiedBy>nandini mv</cp:lastModifiedBy>
  <cp:revision/>
  <dcterms:created xsi:type="dcterms:W3CDTF">2024-07-16T06:00:49Z</dcterms:created>
  <dcterms:modified xsi:type="dcterms:W3CDTF">2026-06-29T04:58:08Z</dcterms:modified>
  <cp:category/>
  <cp:contentStatus/>
</cp:coreProperties>
</file>